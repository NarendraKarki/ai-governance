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Questionnaire" sheetId="3" state="visible" r:id="rId5"/>
    <sheet name="Template Summary" sheetId="4" state="visible" r:id="rId6"/>
    <sheet name="Questionnaire Template" sheetId="5" state="visible" r:id="rId7"/>
  </sheets>
  <calcPr iterateCount="100" refMode="A1" iterate="false" iterateDelta="0.0001"/>
</workbook>
</file>

<file path=xl/sharedStrings.xml><?xml version="1.0" encoding="utf-8"?>
<sst xmlns="http://schemas.openxmlformats.org/spreadsheetml/2006/main" count="856" uniqueCount="373">
  <si>
    <t xml:space="preserve">AI Vendor Assessment: questionnaire, contract clauses and decision</t>
  </si>
  <si>
    <t xml:space="preserve">AI Governance Series, Part 6: github.com/NarendraKarki/ai-governance</t>
  </si>
  <si>
    <t xml:space="preserve">What this workbook is for</t>
  </si>
  <si>
    <t xml:space="preserve">An AI tool you buy is several companies deep: the vendor's product, the foundation model inside it (usually from another company), the cloud it runs on, the vendor's subprocessors, and your own data at the centre. A vendor assessment asks what is in each layer before you sign, and turns every gap into a contract clause. This workbook holds the questions, the reason each one matters, the clause it needs, and a live status and decision.</t>
  </si>
  <si>
    <t xml:space="preserve">Normal due diligence vs AI vendor assessment</t>
  </si>
  <si>
    <t xml:space="preserve">A vendor can pass a normal security and supplier review and still be a risk, because that review checks the vendor, not the AI inside it. Column C marks each question: Standard due diligence (what a normal review already asks) or AI-specific (what it misses). The split is a judgement, not a legal category; mature questionnaires increasingly include AI questions.</t>
  </si>
  <si>
    <t xml:space="preserve">What it looks at</t>
  </si>
  <si>
    <t xml:space="preserve">Normal: the vendor as a company (security controls, certifications, financial standing, continuity). AI assessment: also every layer inside: the model and its maker, where prompts go, the model provider's own terms, how the data is used.</t>
  </si>
  <si>
    <t xml:space="preserve">Evidence</t>
  </si>
  <si>
    <t xml:space="preserve">Normal: security questionnaire, SOC 2 or ISO 27001 report, data processing agreement. AI assessment: those, plus the service terms, the subprocessor list and the model documentation.</t>
  </si>
  <si>
    <t xml:space="preserve">What it assumes</t>
  </si>
  <si>
    <t xml:space="preserve">Normal: the product is fixed once bought. AI assessment: the product can change underneath you: a new model, a different provider, an optional feature switched on.</t>
  </si>
  <si>
    <t xml:space="preserve">Data question</t>
  </si>
  <si>
    <t xml:space="preserve">Normal: is it encrypted, where is it stored, who can access it? AI assessment: also, does anyone keep it, review it or train on it, including the model provider; can it surface in another customer's results?</t>
  </si>
  <si>
    <t xml:space="preserve">Output</t>
  </si>
  <si>
    <t xml:space="preserve">Normal: not covered. AI assessment: accuracy, invented text, traceability to the source, and who carries the liability for a wrong output.</t>
  </si>
  <si>
    <t xml:space="preserve">New attack routes</t>
  </si>
  <si>
    <t xml:space="preserve">Normal: not covered. AI assessment: instructions hidden in uploaded documents (prompt injection), leakage through shared indexes or fine-tuning.</t>
  </si>
  <si>
    <t xml:space="preserve">When it is redone</t>
  </si>
  <si>
    <t xml:space="preserve">Normal: at renewal. AI assessment: at renewal, and on every model change, new subprocessor or newly enabled feature.</t>
  </si>
  <si>
    <t xml:space="preserve">What holds in most jurisdictions</t>
  </si>
  <si>
    <t xml:space="preserve">You stay responsible</t>
  </si>
  <si>
    <t xml:space="preserve">Most data protection laws leave the organisation that buys a service responsible for the vendor it chooses. Checking the vendor is the buyer's job.</t>
  </si>
  <si>
    <t xml:space="preserve">A contract with the vendor</t>
  </si>
  <si>
    <t xml:space="preserve">When a vendor processes personal data for you, many laws require a contract with it, and some set out what it must contain: what it may do, on whose instructions, how securely, and what happens at the end. Where yours does not, put these terms in anyway.</t>
  </si>
  <si>
    <t xml:space="preserve">Suppliers of the supplier</t>
  </si>
  <si>
    <t xml:space="preserve">Some laws, including the UK GDPR, require your approval before the vendor brings in its own suppliers (the model provider, the cloud host) and require them to be bound by the same terms. Where yours does not, the contract should.</t>
  </si>
  <si>
    <t xml:space="preserve">Data sent abroad</t>
  </si>
  <si>
    <t xml:space="preserve">Many laws restrict sending personal data to other countries; where yours does, each transfer needs a route it permits.</t>
  </si>
  <si>
    <t xml:space="preserve">Breaches</t>
  </si>
  <si>
    <t xml:space="preserve">Breaches must usually be reported quickly, so you depend on the vendor telling you fast.</t>
  </si>
  <si>
    <t xml:space="preserve">Why data protection law applies to client contracts</t>
  </si>
  <si>
    <t xml:space="preserve">Client contracts usually carry personal data: names, signatures, contact details, employees and guarantors. Where a document holds none, confidentiality, legal privilege and the client's own terms still apply, so the questions do not change.</t>
  </si>
  <si>
    <t xml:space="preserve">What the law rarely gives you</t>
  </si>
  <si>
    <t xml:space="preserve">Notice of model changes, the model's documentation, accuracy evidence, AI incident reporting and a fair liability cap mostly come only from the contract.</t>
  </si>
  <si>
    <t xml:space="preserve">The UK and EU, as a worked example</t>
  </si>
  <si>
    <t xml:space="preserve">When a vendor processes personal data for you, you may only use one that provides sufficient guarantees of appropriate technical and organisational measures (UK GDPR Art 28(1)). Using one that does not is your own breach: fines up to £8,700,000 or 2% of total worldwide annual turnover, whichever is higher (Art 83(4)(a)).</t>
  </si>
  <si>
    <t xml:space="preserve">The contract has set contents</t>
  </si>
  <si>
    <t xml:space="preserve">Processing must be governed by a contract with the terms in Art 28(3): documented instructions, confidentiality, security, subprocessor conditions, assistance, deletion or return at the end, and audit. Subprocessors need your prior written authorisation (Art 28(2)) and must be bound by the same terms (Art 28(4)).</t>
  </si>
  <si>
    <t xml:space="preserve">Training on your data</t>
  </si>
  <si>
    <t xml:space="preserve">A processor that, in breach of its role, decides to use your data for its own purposes, such as training its models, is treated as a controller for that processing (Art 28(10)). If the contract allows such use, you are disclosing client data to another controller and need your own basis to do so. Ask, and put the answer in the contract.</t>
  </si>
  <si>
    <t xml:space="preserve">Data leaving the UK</t>
  </si>
  <si>
    <t xml:space="preserve">Since 5 February 2026, transfers are governed by UK GDPR Art 44A (the old Art 44 was omitted by the Data (Use and Access) Act 2025): approved by regulations under Art 45A, subject to appropriate safeguards (Art 46), or a derogation (Art 49).</t>
  </si>
  <si>
    <t xml:space="preserve">Professional duties</t>
  </si>
  <si>
    <t xml:space="preserve">For a law firm: you keep the affairs of current and former clients confidential unless disclosure is required or permitted by law or the client consents (SRA Code of Conduct for Firms 6.3).</t>
  </si>
  <si>
    <t xml:space="preserve">What the EU AI Act does and does not give you</t>
  </si>
  <si>
    <t xml:space="preserve">Reviewing contracts for clients is not a high-risk use under Annex III (point 8(a) covers use by or on behalf of a judicial authority, and similar use in alternative dispute resolution), so the deployer duties in Art 26 do not apply to it. The provider of a general-purpose AI model must give documentation that gives a good understanding of the model's capabilities and limitations, with at least the Annex XII content, to the providers who integrate it, that is the vendor (Art 53(1)(b)); nothing obliges anyone to give it to you, and only its summary of training content is public (Art 53(1)(d)). For models placed on the market before 2 August 2025 this applies from 2 August 2027 (Art 111(3)). Deployers in the EU must take measures to support the AI literacy of staff who use AI (Art 4). Your leverage is the contract.</t>
  </si>
  <si>
    <t xml:space="preserve">If the tool is high-risk</t>
  </si>
  <si>
    <t xml:space="preserve">If the vendor intends the tool for an Annex III use, the deployer duties in Art 26 apply (use per the instructions, human oversight, monitoring, logs) and the vendor's own supply chain must be covered by written agreements (Art 25(4)). If you yourself put a tool not classified as high-risk to an Annex III use, you are treated as its provider, with the provider duties (Art 25(1)(c)). These apply to Annex III systems from 2 December 2027 (Art 113(c), as amended). Re-run question F1 whenever the way you use the tool changes.</t>
  </si>
  <si>
    <t xml:space="preserve">Using this outside the UK and EU</t>
  </si>
  <si>
    <t xml:space="preserve">The questions, the reasons in column E and the clauses are written to work in most jurisdictions. Column F shows the legal basis for one verified example, the UK and the EU. Map each row to your own data protection and AI law in column G, and have local counsel check it. Other jurisdictions may be added to the series once their texts have been checked.</t>
  </si>
  <si>
    <t xml:space="preserve">How to use it</t>
  </si>
  <si>
    <t xml:space="preserve">1. Questionnaire</t>
  </si>
  <si>
    <t xml:space="preserve">Work in the Questionnaire Template sheet (keep a blank copy first). Fill column G for your jurisdiction. Send columns D and E to the vendor. Record each answer and the evidence you actually saw, not what was promised.</t>
  </si>
  <si>
    <t xml:space="preserve">2. Rate</t>
  </si>
  <si>
    <t xml:space="preserve">Green: answer is adequate. Amber: a gap that can be fixed. Red: a gap that stops signing until fixed.</t>
  </si>
  <si>
    <t xml:space="preserve">3. Contract</t>
  </si>
  <si>
    <t xml:space="preserve">For every Amber or Red, negotiate the clause in column K and mark whether it is secured (column L): in the signed contract or, for the firm's own items (F rows), done.</t>
  </si>
  <si>
    <t xml:space="preserve">4. Status and decision</t>
  </si>
  <si>
    <t xml:space="preserve">Status is calculated: Red not secured is a blocker; Amber not secured is a condition before go-live. The Template Summary sheet gives the decision for your vendor; the Summary sheet shows the worked example.</t>
  </si>
  <si>
    <t xml:space="preserve">5. Re-assess</t>
  </si>
  <si>
    <t xml:space="preserve">On renewal, on any model change (M2), on any new subprocessor (S2), and whenever the way you use the tool changes (F1).</t>
  </si>
  <si>
    <t xml:space="preserve">Colour key</t>
  </si>
  <si>
    <t xml:space="preserve">Yellow cells</t>
  </si>
  <si>
    <t xml:space="preserve">Cells to fill in on the template sheet.</t>
  </si>
  <si>
    <t xml:space="preserve">Red</t>
  </si>
  <si>
    <t xml:space="preserve">Rating</t>
  </si>
  <si>
    <t xml:space="preserve">Amber</t>
  </si>
  <si>
    <t xml:space="preserve">Green</t>
  </si>
  <si>
    <t xml:space="preserve">The worked example</t>
  </si>
  <si>
    <t xml:space="preserve">Carrow Street Legal LLP (fictional): a law firm operating in the UK and the EU, buying a generative AI contract-review tool. The vendor's tool is built on a general-purpose model from a US model provider and hosted in a UK cloud region. The vendor's security questionnaire raised no Reds. The AI-specific questions raised three, each enough to stop signing: prompts, documents and outputs kept in logs for 90 days; the model provider keeping prompts for up to 30 days for abuse monitoring; and default terms allowing customer content to be used for 'service improvement'. All three are about where client content goes inside the AI supply chain, which a security review does not trace. Every gap that needed the contract was fixed before signing; one condition remains before go-live, inside the firm: staff training. The vendor, the model provider and the firm are fictional.</t>
  </si>
  <si>
    <t xml:space="preserve">Sources</t>
  </si>
  <si>
    <t xml:space="preserve">UK GDPR</t>
  </si>
  <si>
    <t xml:space="preserve">Articles 5(1)(e), 28, 32, 33, 35, 44A, 83(4): legislation.gov.uk, read 5 October 2026 (Art 35 read for Part 5).</t>
  </si>
  <si>
    <t xml:space="preserve">EU AI Act</t>
  </si>
  <si>
    <t xml:space="preserve">Regulation (EU) 2024/1689 as consolidated on 27 July 2026 (CELEX 02024R1689-20260727): Articles 4, 25(1) and (4), 26, 53, 113 and Annexes III and XII. Read in the held text, 5 October 2026.</t>
  </si>
  <si>
    <t xml:space="preserve">SRA</t>
  </si>
  <si>
    <t xml:space="preserve">SRA Code of Conduct for Firms, paragraph 6.3, sra.org.uk, read 5 October 2026.</t>
  </si>
  <si>
    <t xml:space="preserve">Not covered</t>
  </si>
  <si>
    <t xml:space="preserve">EU GDPR for an EU office is not stated here (text not held for this part). Sector rules for regulated financial firms (outsourcing and operational resilience) are outside this workbook.</t>
  </si>
  <si>
    <t xml:space="preserve">Educational material, not legal advice. Have your DPO or legal counsel review any assessment and contract before it is relied on.</t>
  </si>
  <si>
    <t xml:space="preserve">Summary: worked example</t>
  </si>
  <si>
    <t xml:space="preserve">Live counts from the Questionnaire sheet (the worked example).</t>
  </si>
  <si>
    <t xml:space="preserve">Ratings by layer</t>
  </si>
  <si>
    <t xml:space="preserve">Layer</t>
  </si>
  <si>
    <t xml:space="preserve">Total</t>
  </si>
  <si>
    <t xml:space="preserve">1 Tool</t>
  </si>
  <si>
    <t xml:space="preserve">2 Model</t>
  </si>
  <si>
    <t xml:space="preserve">3 Hosting</t>
  </si>
  <si>
    <t xml:space="preserve">4 Subprocessors</t>
  </si>
  <si>
    <t xml:space="preserve">5 Data</t>
  </si>
  <si>
    <t xml:space="preserve">6 The firm</t>
  </si>
  <si>
    <t xml:space="preserve">Ratings by type: what a normal review asks, and what it misses</t>
  </si>
  <si>
    <t xml:space="preserve">Type</t>
  </si>
  <si>
    <t xml:space="preserve">Questions</t>
  </si>
  <si>
    <t xml:space="preserve">Standard due diligence</t>
  </si>
  <si>
    <t xml:space="preserve">AI-specific</t>
  </si>
  <si>
    <t xml:space="preserve">Status</t>
  </si>
  <si>
    <t xml:space="preserve">Blockers: Red, not yet secured</t>
  </si>
  <si>
    <t xml:space="preserve">Conditions before go-live: Amber, not yet secured or done</t>
  </si>
  <si>
    <t xml:space="preserve">Resolved: secured in the contract, or done</t>
  </si>
  <si>
    <t xml:space="preserve">No action needed</t>
  </si>
  <si>
    <t xml:space="preserve">Decision</t>
  </si>
  <si>
    <t xml:space="preserve">Questionnaire</t>
  </si>
  <si>
    <t xml:space="preserve">Worked example: Carrow Street Legal LLP (fictional) assessing a generative AI contract-review tool.</t>
  </si>
  <si>
    <t xml:space="preserve">ID</t>
  </si>
  <si>
    <t xml:space="preserve">Question to the vendor</t>
  </si>
  <si>
    <t xml:space="preserve">Why it matters (general)</t>
  </si>
  <si>
    <t xml:space="preserve">Legal basis: UK and EU (worked example)</t>
  </si>
  <si>
    <t xml:space="preserve">Legal basis: your jurisdiction</t>
  </si>
  <si>
    <t xml:space="preserve">Vendor's answer</t>
  </si>
  <si>
    <t xml:space="preserve">Evidence seen</t>
  </si>
  <si>
    <t xml:space="preserve">Clause the contract needs</t>
  </si>
  <si>
    <t xml:space="preserve">Secured (in the contract, or done)?</t>
  </si>
  <si>
    <t xml:space="preserve">Owner</t>
  </si>
  <si>
    <t xml:space="preserve">Follow-up</t>
  </si>
  <si>
    <t xml:space="preserve">T1</t>
  </si>
  <si>
    <t xml:space="preserve">What does the tool do with our documents, step by step, and for what purpose?</t>
  </si>
  <si>
    <t xml:space="preserve">The contract must say what the vendor may do with your data; you cannot write that without knowing the steps.</t>
  </si>
  <si>
    <t xml:space="preserve">The processor contract must set out the subject matter, duration, nature and purpose of the processing, the type of personal data and the categories of people (UK GDPR Art 28(3)).</t>
  </si>
  <si>
    <t xml:space="preserve">Clause extraction, risk flags and a summary per contract uploaded by fee earners. Purpose: review support only.</t>
  </si>
  <si>
    <t xml:space="preserve">Product description and data flow diagram</t>
  </si>
  <si>
    <t xml:space="preserve">Processing description schedule</t>
  </si>
  <si>
    <t xml:space="preserve">Yes</t>
  </si>
  <si>
    <t xml:space="preserve">Head of Legal Technology</t>
  </si>
  <si>
    <t xml:space="preserve">-</t>
  </si>
  <si>
    <t xml:space="preserve">T2</t>
  </si>
  <si>
    <t xml:space="preserve">Will you sign a processor contract containing every Article 28(3) term?</t>
  </si>
  <si>
    <t xml:space="preserve">Many data protection laws require a contract when a vendor processes personal data for you, and some set out what it must contain.</t>
  </si>
  <si>
    <t xml:space="preserve">Processing on the firm's behalf must be governed by a binding contract with the terms in Art 28(3)(a) to (h).</t>
  </si>
  <si>
    <t xml:space="preserve">Standard DPA offered; one Art 28(3) term (audit) was missing in the first draft.</t>
  </si>
  <si>
    <t xml:space="preserve">DPA v3</t>
  </si>
  <si>
    <t xml:space="preserve">Data processing agreement</t>
  </si>
  <si>
    <t xml:space="preserve">General Counsel</t>
  </si>
  <si>
    <t xml:space="preserve">Audit term added in v3</t>
  </si>
  <si>
    <t xml:space="preserve">T3</t>
  </si>
  <si>
    <t xml:space="preserve">Do you process our data only on our documented instructions, including any transfer abroad?</t>
  </si>
  <si>
    <t xml:space="preserve">The vendor should act only on your instructions, including where the data goes.</t>
  </si>
  <si>
    <t xml:space="preserve">UK GDPR Art 28(3)(a).</t>
  </si>
  <si>
    <t xml:space="preserve">Yes, including transfers.</t>
  </si>
  <si>
    <t xml:space="preserve">DPA v3 clause 3</t>
  </si>
  <si>
    <t xml:space="preserve">Instructions clause</t>
  </si>
  <si>
    <t xml:space="preserve">T4</t>
  </si>
  <si>
    <t xml:space="preserve">What independent evidence of your security can you show (audit reports, penetration test summaries)?</t>
  </si>
  <si>
    <t xml:space="preserve">In most jurisdictions you stay responsible for the vendor you choose. Ask for independent evidence, not assurances.</t>
  </si>
  <si>
    <t xml:space="preserve">The firm may use only processors providing sufficient guarantees (Art 28(1)); security appropriate to the risk (Art 32).</t>
  </si>
  <si>
    <t xml:space="preserve">Independent audit report for the last 12 months; penetration test summary from this year.</t>
  </si>
  <si>
    <t xml:space="preserve">Reports reviewed by the CISO</t>
  </si>
  <si>
    <t xml:space="preserve">Security schedule; right to updated evidence</t>
  </si>
  <si>
    <t xml:space="preserve">Chief Information Security Officer</t>
  </si>
  <si>
    <t xml:space="preserve">Refresh annually</t>
  </si>
  <si>
    <t xml:space="preserve">T5</t>
  </si>
  <si>
    <t xml:space="preserve">How quickly will you tell us about a personal data breach?</t>
  </si>
  <si>
    <t xml:space="preserve">Your own breach-reporting deadlines usually run from when you know; you depend on the vendor telling you fast.</t>
  </si>
  <si>
    <t xml:space="preserve">UK GDPR Art 33(2): a processor must notify the controller without undue delay after becoming aware of a breach. The firm's own 72-hour deadline runs under Art 33(1) and depends on it.</t>
  </si>
  <si>
    <t xml:space="preserve">Within 24 hours of becoming aware.</t>
  </si>
  <si>
    <t xml:space="preserve">DPA v3 clause 9</t>
  </si>
  <si>
    <t xml:space="preserve">Breach notice within a fixed number of hours</t>
  </si>
  <si>
    <t xml:space="preserve">Data Protection Officer</t>
  </si>
  <si>
    <t xml:space="preserve">T6</t>
  </si>
  <si>
    <t xml:space="preserve">Will you help us answer people's data requests and complete our DPIA?</t>
  </si>
  <si>
    <t xml:space="preserve">You will need the vendor's help to answer people's requests about their data and to assess the risks of the processing.</t>
  </si>
  <si>
    <t xml:space="preserve">UK GDPR Art 28(3)(e) and (f).</t>
  </si>
  <si>
    <t xml:space="preserve">Yes.</t>
  </si>
  <si>
    <t xml:space="preserve">DPA v3 clause 7</t>
  </si>
  <si>
    <t xml:space="preserve">Assistance clause</t>
  </si>
  <si>
    <t xml:space="preserve">T7</t>
  </si>
  <si>
    <t xml:space="preserve">When the contract ends, do you delete or return everything, including copies, and confirm it?</t>
  </si>
  <si>
    <t xml:space="preserve">At the end, your data and every copy should be deleted or returned, and that should be confirmed.</t>
  </si>
  <si>
    <t xml:space="preserve">UK GDPR Art 28(3)(g).</t>
  </si>
  <si>
    <t xml:space="preserve">Deletion within 30 days of exit, certificate on request. Logs were not covered at first.</t>
  </si>
  <si>
    <t xml:space="preserve">DPA v3 clause 12</t>
  </si>
  <si>
    <t xml:space="preserve">Exit: deletion or return, with certificate</t>
  </si>
  <si>
    <t xml:space="preserve">Logs now in scope (see H5)</t>
  </si>
  <si>
    <t xml:space="preserve">T8</t>
  </si>
  <si>
    <t xml:space="preserve">Will you allow audits, or provide the information needed to show compliance?</t>
  </si>
  <si>
    <t xml:space="preserve">You need a right to check what the vendor says it does.</t>
  </si>
  <si>
    <t xml:space="preserve">UK GDPR Art 28(3)(h).</t>
  </si>
  <si>
    <t xml:space="preserve">Annual audit report plus questionnaire; on-site audit only after an incident.</t>
  </si>
  <si>
    <t xml:space="preserve">DPA v3 clause 11</t>
  </si>
  <si>
    <t xml:space="preserve">Audit and information rights</t>
  </si>
  <si>
    <t xml:space="preserve">T9</t>
  </si>
  <si>
    <t xml:space="preserve">Will you tell us about incidents and known failures that affect output quality or safety, not only personal data breaches?</t>
  </si>
  <si>
    <t xml:space="preserve">Few laws require a vendor to report AI failures to a customer; the contract can.</t>
  </si>
  <si>
    <t xml:space="preserve">No specific provision; contract only.</t>
  </si>
  <si>
    <t xml:space="preserve">Personal data breaches only at first; no commitment on model failures or quality incidents.</t>
  </si>
  <si>
    <t xml:space="preserve">AI incident notice</t>
  </si>
  <si>
    <t xml:space="preserve">AI incident notice added: material output failures reported within 5 working days</t>
  </si>
  <si>
    <t xml:space="preserve">T10</t>
  </si>
  <si>
    <t xml:space="preserve">At exit, can we export our outputs, annotations and logs in a usable format, with a transition period?</t>
  </si>
  <si>
    <t xml:space="preserve">Deletion at exit protects the data; it does not give you your work product back. Only the contract does.</t>
  </si>
  <si>
    <t xml:space="preserve">UK GDPR Art 28(3)(g) covers deletion or return, not export of work product; contract only.</t>
  </si>
  <si>
    <t xml:space="preserve">Export of outputs and annotations in standard formats; 60-day transition period.</t>
  </si>
  <si>
    <t xml:space="preserve">Order form, exit schedule</t>
  </si>
  <si>
    <t xml:space="preserve">Exit assistance and data export</t>
  </si>
  <si>
    <t xml:space="preserve">T11</t>
  </si>
  <si>
    <t xml:space="preserve">What is your liability cap for data breaches and for errors in outputs, and does it match the risk to a regulated firm?</t>
  </si>
  <si>
    <t xml:space="preserve">A standard cap of a year's fees rarely covers a confidentiality breach or a claim that rests on a wrong output.</t>
  </si>
  <si>
    <t xml:space="preserve">Liability capped at 12 months' fees for everything, data breaches included.</t>
  </si>
  <si>
    <t xml:space="preserve">Master agreement v2</t>
  </si>
  <si>
    <t xml:space="preserve">Liability cap and indemnities</t>
  </si>
  <si>
    <t xml:space="preserve">Separate, higher cap agreed for data protection and confidentiality breaches</t>
  </si>
  <si>
    <t xml:space="preserve">T12</t>
  </si>
  <si>
    <t xml:space="preserve">Which optional features change your data commitments (retention, human review, processing location), and who in our firm can switch them on?</t>
  </si>
  <si>
    <t xml:space="preserve">Some vendors' terms let optional features keep data, allow human review or process it outside the agreed region. A secure core product can be changed by an administrator's setting.</t>
  </si>
  <si>
    <t xml:space="preserve">No specific provision; contract and admin controls.</t>
  </si>
  <si>
    <t xml:space="preserve">Two optional features (web search and an external model) process data outside the agreed region and allow provider safety review; both off by default; any administrator could enable them.</t>
  </si>
  <si>
    <t xml:space="preserve">Service terms, admin settings</t>
  </si>
  <si>
    <t xml:space="preserve">Optional features that change data commitments stay off unless approved in writing</t>
  </si>
  <si>
    <t xml:space="preserve">Contract: off unless the DPO approves in writing; admin rights limited to two named people</t>
  </si>
  <si>
    <t xml:space="preserve">M1</t>
  </si>
  <si>
    <t xml:space="preserve">Which foundation model does the tool use, from which provider, and which version?</t>
  </si>
  <si>
    <t xml:space="preserve">You cannot assess a model you cannot name. The model provider is a separate company with its own terms.</t>
  </si>
  <si>
    <t xml:space="preserve">A general-purpose model from a US model provider, named in the order form, current version stated.</t>
  </si>
  <si>
    <t xml:space="preserve">Order form</t>
  </si>
  <si>
    <t xml:space="preserve">Named model and provider in the order form</t>
  </si>
  <si>
    <t xml:space="preserve">M2</t>
  </si>
  <si>
    <t xml:space="preserve">Will you tell us before the model or its version changes, and let us test first?</t>
  </si>
  <si>
    <t xml:space="preserve">Few laws require this notice; the contract can. A model change can change the tool's accuracy overnight.</t>
  </si>
  <si>
    <t xml:space="preserve">Notice only for 'major' model changes; minor updates without notice.</t>
  </si>
  <si>
    <t xml:space="preserve">Vendor email, then contract</t>
  </si>
  <si>
    <t xml:space="preserve">Advance notice of model change; right to test and to terminate</t>
  </si>
  <si>
    <t xml:space="preserve">Agreed before signing: 30 days' notice of any model change, and a test window</t>
  </si>
  <si>
    <t xml:space="preserve">M3</t>
  </si>
  <si>
    <t xml:space="preserve">Will you pass on the model provider's documentation on capabilities and limitations?</t>
  </si>
  <si>
    <t xml:space="preserve">The model's maker knows its capabilities and limits. The vendor may hold that documentation; the buyer usually does not.</t>
  </si>
  <si>
    <t xml:space="preserve">EU AI Act Art 53(1)(b): the general-purpose model provider must give documentation that gives a good understanding of the model's capabilities and limitations, with at least the Annex XII content, to providers who integrate the model (the vendor). Nothing obliges anyone to give it to the buyer; only the training-content summary is public (Art 53(1)(d)). Not owed for qualifying open-source models (Art 53(2)). For models placed on the market before 2 August 2025, due by 2 August 2027 (Art 111(3)).</t>
  </si>
  <si>
    <t xml:space="preserve">Vendor has the model provider's documentation; would share a summary only.</t>
  </si>
  <si>
    <t xml:space="preserve">Summary seen, then contract</t>
  </si>
  <si>
    <t xml:space="preserve">Flow-down of model documentation</t>
  </si>
  <si>
    <t xml:space="preserve">Agreed before signing: flow-down of the model documentation as far as the model provider's terms allow; otherwise a briefing under NDA</t>
  </si>
  <si>
    <t xml:space="preserve">M4</t>
  </si>
  <si>
    <t xml:space="preserve">What accuracy testing have you done on contract review, including missed clauses and invented text?</t>
  </si>
  <si>
    <t xml:space="preserve">Professional work rests on the output; you need its limits before relying on it.</t>
  </si>
  <si>
    <t xml:space="preserve">No specific provision; professional duties of care.</t>
  </si>
  <si>
    <t xml:space="preserve">Test results on 2,000 commercial contracts: clause recall reported; invented text found in a small share of summaries.</t>
  </si>
  <si>
    <t xml:space="preserve">Test report</t>
  </si>
  <si>
    <t xml:space="preserve">Accuracy warranty or documented test results</t>
  </si>
  <si>
    <t xml:space="preserve">Head of Knowledge</t>
  </si>
  <si>
    <t xml:space="preserve">Fee earners check every summary against the source (see M5)</t>
  </si>
  <si>
    <t xml:space="preserve">M5</t>
  </si>
  <si>
    <t xml:space="preserve">Does every output point back to the clause or page it came from?</t>
  </si>
  <si>
    <t xml:space="preserve">Lets a lawyer check the output against the source: practical human oversight.</t>
  </si>
  <si>
    <t xml:space="preserve">No specific provision.</t>
  </si>
  <si>
    <t xml:space="preserve">Every extracted clause links to the page and paragraph.</t>
  </si>
  <si>
    <t xml:space="preserve">Demo and specification</t>
  </si>
  <si>
    <t xml:space="preserve">Functional specification</t>
  </si>
  <si>
    <t xml:space="preserve">H1</t>
  </si>
  <si>
    <t xml:space="preserve">In which countries, and with which cloud providers, is our data stored and processed?</t>
  </si>
  <si>
    <t xml:space="preserve">Many laws restrict sending personal data abroad; you need to know every country it reaches.</t>
  </si>
  <si>
    <t xml:space="preserve">A transfer outside the UK is lawful only if it is approved by regulations under Art 45A, made subject to appropriate safeguards (Art 46), or made under a derogation (Art 49): UK GDPR Art 44A.</t>
  </si>
  <si>
    <t xml:space="preserve">UK region for storage; the model provider processes prompts in the US.</t>
  </si>
  <si>
    <t xml:space="preserve">Data location schedule</t>
  </si>
  <si>
    <t xml:space="preserve">Transfer mechanism confirmed (H2)</t>
  </si>
  <si>
    <t xml:space="preserve">H2</t>
  </si>
  <si>
    <t xml:space="preserve">For any transfer outside the UK, which transfer mechanism do you rely on?</t>
  </si>
  <si>
    <t xml:space="preserve">Where your law restricts transfers abroad, each one needs a route that law permits.</t>
  </si>
  <si>
    <t xml:space="preserve">UK GDPR Art 44A(2).</t>
  </si>
  <si>
    <t xml:space="preserve">US processing under appropriate safeguards (Art 46).</t>
  </si>
  <si>
    <t xml:space="preserve">Transfer clause and risk assessment</t>
  </si>
  <si>
    <t xml:space="preserve">Transfer clause with the named mechanism</t>
  </si>
  <si>
    <t xml:space="preserve">H3</t>
  </si>
  <si>
    <t xml:space="preserve">Is our data encrypted at rest and in transit, and who holds the keys?</t>
  </si>
  <si>
    <t xml:space="preserve">Encryption limits the damage if storage or traffic is exposed; whoever holds the keys can read the data.</t>
  </si>
  <si>
    <t xml:space="preserve">UK GDPR Art 32(1)(a).</t>
  </si>
  <si>
    <t xml:space="preserve">Encrypted at rest and in transit; keys held by the cloud provider, managed by the vendor.</t>
  </si>
  <si>
    <t xml:space="preserve">Security schedule</t>
  </si>
  <si>
    <t xml:space="preserve">H4</t>
  </si>
  <si>
    <t xml:space="preserve">Is our data kept separate from other customers' data?</t>
  </si>
  <si>
    <t xml:space="preserve">Shared systems can leak one customer's data to another.</t>
  </si>
  <si>
    <t xml:space="preserve">UK GDPR Art 32(1)(b): ongoing confidentiality and integrity of systems.</t>
  </si>
  <si>
    <t xml:space="preserve">Separate storage per customer.</t>
  </si>
  <si>
    <t xml:space="preserve">H5</t>
  </si>
  <si>
    <t xml:space="preserve">How long are prompts, documents and outputs kept in logs?</t>
  </si>
  <si>
    <t xml:space="preserve">Data should not be kept longer than needed, and deletion at exit should cover logs too.</t>
  </si>
  <si>
    <t xml:space="preserve">Data kept no longer than needed (Art 5(1)(e)); deletion at exit covers logs too (Art 28(3)(g)).</t>
  </si>
  <si>
    <t xml:space="preserve">Logs of prompts and outputs kept 90 days; not covered by exit deletion at first.</t>
  </si>
  <si>
    <t xml:space="preserve">Retention schedule</t>
  </si>
  <si>
    <t xml:space="preserve">Retention schedule including logs</t>
  </si>
  <si>
    <t xml:space="preserve">Now 30 days, and deleted at exit</t>
  </si>
  <si>
    <t xml:space="preserve">H6</t>
  </si>
  <si>
    <t xml:space="preserve">How do you stop one customer's documents or prompts appearing in another's outputs (shared caches, indexes, fine-tuning), and how do you test against instructions hidden in uploaded documents?</t>
  </si>
  <si>
    <t xml:space="preserve">Generative AI adds its own leakage routes: shared indexes, fine-tuning, and instructions hidden in uploaded documents.</t>
  </si>
  <si>
    <t xml:space="preserve">Ongoing confidentiality and integrity of systems (Art 32(1)(b)) and regular testing of the measures (Art 32(1)(d)). Generative AI adds its own routes: shared indexes and prompt injection.</t>
  </si>
  <si>
    <t xml:space="preserve">Separate index per customer; no fine-tuning on customer data; tests against instructions hidden in uploaded documents twice a year.</t>
  </si>
  <si>
    <t xml:space="preserve">Security schedule, test summary</t>
  </si>
  <si>
    <t xml:space="preserve">Security schedule with AI-specific testing</t>
  </si>
  <si>
    <t xml:space="preserve">S1</t>
  </si>
  <si>
    <t xml:space="preserve">Who are all your subprocessors, what does each do, and where?</t>
  </si>
  <si>
    <t xml:space="preserve">Some data protection laws require your approval before a vendor brings in its own suppliers; where yours does not, the contract can.</t>
  </si>
  <si>
    <t xml:space="preserve">No other processor may be engaged without the firm's prior specific or general written authorisation (Art 28(2)).</t>
  </si>
  <si>
    <t xml:space="preserve">Four subprocessors: cloud host, model provider, support desk, error monitoring.</t>
  </si>
  <si>
    <t xml:space="preserve">Subprocessor schedule</t>
  </si>
  <si>
    <t xml:space="preserve">Subprocessor list as a schedule</t>
  </si>
  <si>
    <t xml:space="preserve">S2</t>
  </si>
  <si>
    <t xml:space="preserve">How much notice do we get of a new or replaced subprocessor, and can we object?</t>
  </si>
  <si>
    <t xml:space="preserve">You need notice of changes and a chance to object.</t>
  </si>
  <si>
    <t xml:space="preserve">Under general authorisation the processor must give notice of changes and a chance to object (Art 28(2)).</t>
  </si>
  <si>
    <t xml:space="preserve">General authorisation; 30 days' notice and a right to object.</t>
  </si>
  <si>
    <t xml:space="preserve">DPA v3 clause 5</t>
  </si>
  <si>
    <t xml:space="preserve">Notice period and right to object or exit</t>
  </si>
  <si>
    <t xml:space="preserve">S3</t>
  </si>
  <si>
    <t xml:space="preserve">Do your subprocessors sign the same data protection terms you sign with us?</t>
  </si>
  <si>
    <t xml:space="preserve">The vendor's suppliers should be bound by the same terms, with the vendor answerable for them.</t>
  </si>
  <si>
    <t xml:space="preserve">Same obligations must be passed down by contract; the vendor stays fully liable for them (Art 28(4)).</t>
  </si>
  <si>
    <t xml:space="preserve">Yes, flowed down; vendor remains liable.</t>
  </si>
  <si>
    <t xml:space="preserve">Flow-down and liability clause</t>
  </si>
  <si>
    <t xml:space="preserve">S4</t>
  </si>
  <si>
    <t xml:space="preserve">Does the model provider keep our prompts or documents, for how long, where, and why?</t>
  </si>
  <si>
    <t xml:space="preserve">The model provider is usually a subprocessor; what it keeps, and where, is part of your answer.</t>
  </si>
  <si>
    <t xml:space="preserve">UK GDPR Arts 28(2) and 44A.</t>
  </si>
  <si>
    <t xml:space="preserve">Model provider keeps prompts up to 30 days for abuse monitoring, in the US.</t>
  </si>
  <si>
    <t xml:space="preserve">Model provider terms</t>
  </si>
  <si>
    <t xml:space="preserve">Model provider retention terms in the schedule</t>
  </si>
  <si>
    <t xml:space="preserve">Zero-retention option now contracted</t>
  </si>
  <si>
    <t xml:space="preserve">D1</t>
  </si>
  <si>
    <t xml:space="preserve">Are our documents, prompts or outputs used to train or improve any model, yours or the model provider's?</t>
  </si>
  <si>
    <t xml:space="preserve">A vendor that uses your data for its own purposes is no longer just acting for you. If the contract allows it, you are handing client data to another party. Client confidentiality is at stake.</t>
  </si>
  <si>
    <t xml:space="preserve">A processor that, in breach of its role, decides to use the data for its own purposes is treated as a controller for that processing (Art 28(10)). If the contract allows such use, the firm is disclosing client data to another controller and needs its own basis to do so. Client confidentiality (SRA Code for Firms 6.3).</t>
  </si>
  <si>
    <t xml:space="preserve">Default terms allowed 'service improvement' using customer content.</t>
  </si>
  <si>
    <t xml:space="preserve">Original terms</t>
  </si>
  <si>
    <t xml:space="preserve">No-training clause covering vendor and model provider</t>
  </si>
  <si>
    <t xml:space="preserve">No-training clause now covers vendor and model provider</t>
  </si>
  <si>
    <t xml:space="preserve">D2</t>
  </si>
  <si>
    <t xml:space="preserve">Can your staff or the model provider's staff read our documents, and when?</t>
  </si>
  <si>
    <t xml:space="preserve">Everyone with access should be bound to confidentiality and act only on instructions.</t>
  </si>
  <si>
    <t xml:space="preserve">Persons with access must be under confidentiality and act only on instructions (Art 28(3)(b), Art 32(4)).</t>
  </si>
  <si>
    <t xml:space="preserve">Support staff can view documents only on a ticket the firm opens; model provider staff have no routine access.</t>
  </si>
  <si>
    <t xml:space="preserve">Access policy</t>
  </si>
  <si>
    <t xml:space="preserve">Access controls and confidentiality undertakings</t>
  </si>
  <si>
    <t xml:space="preserve">D3</t>
  </si>
  <si>
    <t xml:space="preserve">Is our data used for anything other than our service, such as analytics or benchmarking?</t>
  </si>
  <si>
    <t xml:space="preserve">Your data should be used only to provide your service.</t>
  </si>
  <si>
    <t xml:space="preserve">UK GDPR Arts 28(3)(a) and 28(10).</t>
  </si>
  <si>
    <t xml:space="preserve">Usage statistics only, no document content.</t>
  </si>
  <si>
    <t xml:space="preserve">DPA v3 clause 4</t>
  </si>
  <si>
    <t xml:space="preserve">Purpose limitation clause</t>
  </si>
  <si>
    <t xml:space="preserve">D4</t>
  </si>
  <si>
    <t xml:space="preserve">Can we exclude particular matters or clients from the tool?</t>
  </si>
  <si>
    <t xml:space="preserve">Some clients or matters carry stricter confidentiality terms.</t>
  </si>
  <si>
    <t xml:space="preserve">SRA Code of Conduct for Firms 6.3 (client confidentiality).</t>
  </si>
  <si>
    <t xml:space="preserve">Matters can be excluded by workspace.</t>
  </si>
  <si>
    <t xml:space="preserve">Demo</t>
  </si>
  <si>
    <t xml:space="preserve">Matter-level exclusion control</t>
  </si>
  <si>
    <t xml:space="preserve">F1</t>
  </si>
  <si>
    <t xml:space="preserve">Is this use regulated as high-risk AI where we operate?</t>
  </si>
  <si>
    <t xml:space="preserve">Some laws regulate certain AI uses as high-risk, with extra duties for the organisation using them.</t>
  </si>
  <si>
    <t xml:space="preserve">Annex III lists the high-risk uses; for the administration of justice it covers use by or on behalf of a judicial authority, or in a similar way in alternative dispute resolution (point 8(a)). If the vendor intends the tool for a high-risk use, the deployer duties apply (Art 26). If the firm itself puts a tool not classified as high-risk to such a use, the firm is treated as its provider (Art 25(1)(c)). Both from 2 December 2027 for Annex III systems (Art 113(c), as amended).</t>
  </si>
  <si>
    <t xml:space="preserve">EU: reviewing contracts for clients is not an Annex III use under the EU AI Act, so not high-risk. UK: assessed under data protection law (F3).</t>
  </si>
  <si>
    <t xml:space="preserve">Classification note</t>
  </si>
  <si>
    <t xml:space="preserve">Not a clause: record the classification</t>
  </si>
  <si>
    <t xml:space="preserve">Head of Risk</t>
  </si>
  <si>
    <t xml:space="preserve">Re-check if anyone uses it while sitting as an arbitrator or mediator, or on behalf of a court or other judicial authority (Annex III point 8(a))</t>
  </si>
  <si>
    <t xml:space="preserve">F2</t>
  </si>
  <si>
    <t xml:space="preserve">Have the people who will use it been trained on its limits?</t>
  </si>
  <si>
    <t xml:space="preserve">Users who know a tool's limits catch its errors; some laws now require AI training for staff.</t>
  </si>
  <si>
    <t xml:space="preserve">EU AI Act Art 4: deployers take measures to support the AI literacy of staff using AI systems (applies to the EU office).</t>
  </si>
  <si>
    <t xml:space="preserve">Training module for fee earners on limits and checking.</t>
  </si>
  <si>
    <t xml:space="preserve">Training record</t>
  </si>
  <si>
    <t xml:space="preserve">Not a clause: training record</t>
  </si>
  <si>
    <t xml:space="preserve">No</t>
  </si>
  <si>
    <t xml:space="preserve">Condition: training complete before access is granted</t>
  </si>
  <si>
    <t xml:space="preserve">F3</t>
  </si>
  <si>
    <t xml:space="preserve">Does this use need an impact assessment?</t>
  </si>
  <si>
    <t xml:space="preserve">Many data protection laws require a risk assessment before high-risk processing.</t>
  </si>
  <si>
    <t xml:space="preserve">UK GDPR Art 35; the Part 5 workbook does the screen.</t>
  </si>
  <si>
    <t xml:space="preserve">Screened: client personal data at scale; DPIA required and completed.</t>
  </si>
  <si>
    <t xml:space="preserve">DPIA</t>
  </si>
  <si>
    <t xml:space="preserve">Not a clause: DPIA screening record</t>
  </si>
  <si>
    <t xml:space="preserve">Template Summary: your vendor</t>
  </si>
  <si>
    <t xml:space="preserve">Live counts and decision from the Questionnaire Template sheet. Blank until ratings are entered.</t>
  </si>
  <si>
    <t xml:space="preserve">Questionnaire Template</t>
  </si>
  <si>
    <t xml:space="preserve">Fill the yellow cells. Rating: Green (answer is adequate), Amber (gap, fixable), Red (gap that stops signing). Status is calculated; the Template Summary sheet gives the decision.</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</si>
</sst>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i val="true"/>
      <sz val="9"/>
      <color rgb="FF666666"/>
      <name val="Arial"/>
      <family val="0"/>
      <charset val="1"/>
    </font>
    <font>
      <b val="true"/>
      <sz val="11"/>
      <color rgb="FF1F4E79"/>
      <name val="Arial"/>
      <family val="0"/>
      <charset val="1"/>
    </font>
    <font>
      <sz val="10"/>
      <name val="Arial"/>
      <family val="0"/>
      <charset val="1"/>
    </font>
    <font>
      <b val="true"/>
      <sz val="10"/>
      <name val="Arial"/>
      <family val="0"/>
      <charset val="1"/>
    </font>
    <font>
      <b val="true"/>
      <sz val="10"/>
      <color rgb="FFFFFFFF"/>
      <name val="Arial"/>
      <family val="0"/>
      <charset val="1"/>
    </font>
  </fonts>
  <fills count="15">
    <fill>
      <patternFill patternType="none"/>
    </fill>
    <fill>
      <patternFill patternType="gray125"/>
    </fill>
    <fill>
      <patternFill patternType="solid">
        <fgColor rgb="FFFFF2CC"/>
        <bgColor rgb="FFFCE5CD"/>
      </patternFill>
    </fill>
    <fill>
      <patternFill patternType="solid">
        <fgColor rgb="FFE06666"/>
        <bgColor rgb="FFFF6600"/>
      </patternFill>
    </fill>
    <fill>
      <patternFill patternType="solid">
        <fgColor rgb="FFFFD966"/>
        <bgColor rgb="FFFCE5CD"/>
      </patternFill>
    </fill>
    <fill>
      <patternFill patternType="solid">
        <fgColor rgb="FF93C47D"/>
        <bgColor rgb="FFBFBFBF"/>
      </patternFill>
    </fill>
    <fill>
      <patternFill patternType="solid">
        <fgColor rgb="FF1F4E79"/>
        <bgColor rgb="FF003366"/>
      </patternFill>
    </fill>
    <fill>
      <patternFill patternType="solid">
        <fgColor rgb="FFDCE3F0"/>
        <bgColor rgb="FFDDEBF7"/>
      </patternFill>
    </fill>
    <fill>
      <patternFill patternType="solid">
        <fgColor rgb="FFE7E6E6"/>
        <bgColor rgb="FFEDEDED"/>
      </patternFill>
    </fill>
    <fill>
      <patternFill patternType="solid">
        <fgColor rgb="FFD9D9D9"/>
        <bgColor rgb="FFDCE3F0"/>
      </patternFill>
    </fill>
    <fill>
      <patternFill patternType="solid">
        <fgColor rgb="FFF2DCDB"/>
        <bgColor rgb="FFFCE4D6"/>
      </patternFill>
    </fill>
    <fill>
      <patternFill patternType="solid">
        <fgColor rgb="FFDDEBF7"/>
        <bgColor rgb="FFDCE3F0"/>
      </patternFill>
    </fill>
    <fill>
      <patternFill patternType="solid">
        <fgColor rgb="FFEDEDED"/>
        <bgColor rgb="FFF2F2F2"/>
      </patternFill>
    </fill>
    <fill>
      <patternFill patternType="solid">
        <fgColor rgb="FFF2F2F2"/>
        <bgColor rgb="FFEDEDED"/>
      </patternFill>
    </fill>
    <fill>
      <patternFill patternType="solid">
        <fgColor rgb="FFFCE4D6"/>
        <bgColor rgb="FFFCE5C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8" fillId="12" borderId="1" xfId="0" applyFont="true" applyBorder="true" applyAlignment="true" applyProtection="false">
      <alignment horizontal="general" vertical="top" textRotation="0" wrapText="true" indent="0" shrinkToFit="false"/>
      <protection locked="true" hidden="false"/>
    </xf>
    <xf numFmtId="164" fontId="8" fillId="13" borderId="1" xfId="0" applyFont="true" applyBorder="true" applyAlignment="true" applyProtection="false">
      <alignment horizontal="general" vertical="top" textRotation="0" wrapText="true" indent="0" shrinkToFit="false"/>
      <protection locked="true" hidden="false"/>
    </xf>
    <xf numFmtId="164" fontId="8" fillId="14"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1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F4CCCC"/>
        </patternFill>
      </fill>
    </dxf>
    <dxf>
      <fill>
        <patternFill>
          <bgColor rgb="FFFCE5CD"/>
        </patternFill>
      </fill>
    </dxf>
    <dxf>
      <fill>
        <patternFill>
          <bgColor rgb="FFD9EAD3"/>
        </patternFill>
      </fill>
    </dxf>
    <dxf>
      <fill>
        <patternFill>
          <bgColor rgb="FFD9D9D9"/>
        </patternFill>
      </fill>
    </dxf>
    <dxf>
      <fill>
        <patternFill>
          <bgColor rgb="FFE06666"/>
        </patternFill>
      </fill>
    </dxf>
    <dxf>
      <fill>
        <patternFill>
          <bgColor rgb="FFFFD966"/>
        </patternFill>
      </fill>
    </dxf>
    <dxf>
      <fill>
        <patternFill>
          <bgColor rgb="FF93C47D"/>
        </patternFill>
      </fill>
    </dxf>
  </dxfs>
  <colors>
    <indexedColors>
      <rgbColor rgb="FF000000"/>
      <rgbColor rgb="FFFFFFFF"/>
      <rgbColor rgb="FFFF0000"/>
      <rgbColor rgb="FF00FF00"/>
      <rgbColor rgb="FF0000FF"/>
      <rgbColor rgb="FFFCE4D6"/>
      <rgbColor rgb="FFFF00FF"/>
      <rgbColor rgb="FF00FFFF"/>
      <rgbColor rgb="FF800000"/>
      <rgbColor rgb="FF008000"/>
      <rgbColor rgb="FF000080"/>
      <rgbColor rgb="FF808000"/>
      <rgbColor rgb="FF800080"/>
      <rgbColor rgb="FF008080"/>
      <rgbColor rgb="FFBFBFBF"/>
      <rgbColor rgb="FF808080"/>
      <rgbColor rgb="FFEDEDED"/>
      <rgbColor rgb="FF993366"/>
      <rgbColor rgb="FFFFF2CC"/>
      <rgbColor rgb="FFDDEBF7"/>
      <rgbColor rgb="FF660066"/>
      <rgbColor rgb="FFE06666"/>
      <rgbColor rgb="FF0066CC"/>
      <rgbColor rgb="FFD9D9D9"/>
      <rgbColor rgb="FF000080"/>
      <rgbColor rgb="FFFF00FF"/>
      <rgbColor rgb="FFFFFF00"/>
      <rgbColor rgb="FF00FFFF"/>
      <rgbColor rgb="FF800080"/>
      <rgbColor rgb="FF800000"/>
      <rgbColor rgb="FF008080"/>
      <rgbColor rgb="FF0000FF"/>
      <rgbColor rgb="FF00CCFF"/>
      <rgbColor rgb="FFF2F2F2"/>
      <rgbColor rgb="FFD9EAD3"/>
      <rgbColor rgb="FFFCE5CD"/>
      <rgbColor rgb="FFDCE3F0"/>
      <rgbColor rgb="FFF2DCDB"/>
      <rgbColor rgb="FFE7E6E6"/>
      <rgbColor rgb="FFF4CCCC"/>
      <rgbColor rgb="FF3366FF"/>
      <rgbColor rgb="FF33CCCC"/>
      <rgbColor rgb="FF99CC00"/>
      <rgbColor rgb="FFFFD966"/>
      <rgbColor rgb="FFFF9900"/>
      <rgbColor rgb="FFFF6600"/>
      <rgbColor rgb="FF666666"/>
      <rgbColor rgb="FF93C47D"/>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57.75" hidden="false" customHeight="true" outlineLevel="0" collapsed="false">
      <c r="B6" s="4" t="s">
        <v>3</v>
      </c>
      <c r="C6" s="4"/>
    </row>
    <row r="8" customFormat="false" ht="15" hidden="false" customHeight="false" outlineLevel="0" collapsed="false">
      <c r="B8" s="3" t="s">
        <v>4</v>
      </c>
    </row>
    <row r="9" customFormat="false" ht="45" hidden="false" customHeight="true" outlineLevel="0" collapsed="false">
      <c r="B9" s="4" t="s">
        <v>5</v>
      </c>
      <c r="C9" s="4"/>
    </row>
    <row r="10" customFormat="false" ht="45" hidden="false" customHeight="true" outlineLevel="0" collapsed="false">
      <c r="B10" s="5" t="s">
        <v>6</v>
      </c>
      <c r="C10" s="6" t="s">
        <v>7</v>
      </c>
    </row>
    <row r="11" customFormat="false" ht="45" hidden="false" customHeight="true" outlineLevel="0" collapsed="false">
      <c r="B11" s="5" t="s">
        <v>8</v>
      </c>
      <c r="C11" s="6" t="s">
        <v>9</v>
      </c>
    </row>
    <row r="12" customFormat="false" ht="45" hidden="false" customHeight="true" outlineLevel="0" collapsed="false">
      <c r="B12" s="5" t="s">
        <v>10</v>
      </c>
      <c r="C12" s="6" t="s">
        <v>11</v>
      </c>
    </row>
    <row r="13" customFormat="false" ht="45" hidden="false" customHeight="true" outlineLevel="0" collapsed="false">
      <c r="B13" s="5" t="s">
        <v>12</v>
      </c>
      <c r="C13" s="6" t="s">
        <v>13</v>
      </c>
    </row>
    <row r="14" customFormat="false" ht="45" hidden="false" customHeight="true" outlineLevel="0" collapsed="false">
      <c r="B14" s="5" t="s">
        <v>14</v>
      </c>
      <c r="C14" s="6" t="s">
        <v>15</v>
      </c>
    </row>
    <row r="15" customFormat="false" ht="45" hidden="false" customHeight="true" outlineLevel="0" collapsed="false">
      <c r="B15" s="5" t="s">
        <v>16</v>
      </c>
      <c r="C15" s="6" t="s">
        <v>17</v>
      </c>
    </row>
    <row r="16" customFormat="false" ht="45" hidden="false" customHeight="true" outlineLevel="0" collapsed="false">
      <c r="B16" s="5" t="s">
        <v>18</v>
      </c>
      <c r="C16" s="6" t="s">
        <v>19</v>
      </c>
    </row>
    <row r="18" customFormat="false" ht="15" hidden="false" customHeight="false" outlineLevel="0" collapsed="false">
      <c r="B18" s="3" t="s">
        <v>20</v>
      </c>
    </row>
    <row r="19" customFormat="false" ht="31.5" hidden="false" customHeight="true" outlineLevel="0" collapsed="false">
      <c r="B19" s="5" t="s">
        <v>21</v>
      </c>
      <c r="C19" s="6" t="s">
        <v>22</v>
      </c>
    </row>
    <row r="20" customFormat="false" ht="31.5" hidden="false" customHeight="true" outlineLevel="0" collapsed="false">
      <c r="B20" s="5" t="s">
        <v>23</v>
      </c>
      <c r="C20" s="6" t="s">
        <v>24</v>
      </c>
    </row>
    <row r="21" customFormat="false" ht="31.5" hidden="false" customHeight="true" outlineLevel="0" collapsed="false">
      <c r="B21" s="5" t="s">
        <v>25</v>
      </c>
      <c r="C21" s="6" t="s">
        <v>26</v>
      </c>
    </row>
    <row r="22" customFormat="false" ht="31.5" hidden="false" customHeight="true" outlineLevel="0" collapsed="false">
      <c r="B22" s="5" t="s">
        <v>27</v>
      </c>
      <c r="C22" s="6" t="s">
        <v>28</v>
      </c>
    </row>
    <row r="23" customFormat="false" ht="31.5" hidden="false" customHeight="true" outlineLevel="0" collapsed="false">
      <c r="B23" s="5" t="s">
        <v>29</v>
      </c>
      <c r="C23" s="6" t="s">
        <v>30</v>
      </c>
    </row>
    <row r="24" customFormat="false" ht="31.5" hidden="false" customHeight="true" outlineLevel="0" collapsed="false">
      <c r="B24" s="5" t="s">
        <v>31</v>
      </c>
      <c r="C24" s="6" t="s">
        <v>32</v>
      </c>
    </row>
    <row r="25" customFormat="false" ht="31.5" hidden="false" customHeight="true" outlineLevel="0" collapsed="false">
      <c r="B25" s="5" t="s">
        <v>33</v>
      </c>
      <c r="C25" s="6" t="s">
        <v>34</v>
      </c>
    </row>
    <row r="27" customFormat="false" ht="15" hidden="false" customHeight="false" outlineLevel="0" collapsed="false">
      <c r="B27" s="3" t="s">
        <v>35</v>
      </c>
    </row>
    <row r="28" customFormat="false" ht="45" hidden="false" customHeight="true" outlineLevel="0" collapsed="false">
      <c r="B28" s="5" t="s">
        <v>21</v>
      </c>
      <c r="C28" s="6" t="s">
        <v>36</v>
      </c>
    </row>
    <row r="29" customFormat="false" ht="45" hidden="false" customHeight="true" outlineLevel="0" collapsed="false">
      <c r="B29" s="5" t="s">
        <v>37</v>
      </c>
      <c r="C29" s="6" t="s">
        <v>38</v>
      </c>
    </row>
    <row r="30" customFormat="false" ht="45" hidden="false" customHeight="true" outlineLevel="0" collapsed="false">
      <c r="B30" s="5" t="s">
        <v>39</v>
      </c>
      <c r="C30" s="6" t="s">
        <v>40</v>
      </c>
    </row>
    <row r="31" customFormat="false" ht="45" hidden="false" customHeight="true" outlineLevel="0" collapsed="false">
      <c r="B31" s="5" t="s">
        <v>41</v>
      </c>
      <c r="C31" s="6" t="s">
        <v>42</v>
      </c>
    </row>
    <row r="32" customFormat="false" ht="31.5" hidden="false" customHeight="true" outlineLevel="0" collapsed="false">
      <c r="B32" s="5" t="s">
        <v>43</v>
      </c>
      <c r="C32" s="6" t="s">
        <v>44</v>
      </c>
    </row>
    <row r="33" customFormat="false" ht="97.5" hidden="false" customHeight="true" outlineLevel="0" collapsed="false">
      <c r="B33" s="5" t="s">
        <v>45</v>
      </c>
      <c r="C33" s="6" t="s">
        <v>46</v>
      </c>
    </row>
    <row r="34" customFormat="false" ht="57.75" hidden="false" customHeight="true" outlineLevel="0" collapsed="false">
      <c r="B34" s="5" t="s">
        <v>47</v>
      </c>
      <c r="C34" s="6" t="s">
        <v>48</v>
      </c>
    </row>
    <row r="37" customFormat="false" ht="15" hidden="false" customHeight="false" outlineLevel="0" collapsed="false">
      <c r="B37" s="3" t="s">
        <v>49</v>
      </c>
    </row>
    <row r="38" customFormat="false" ht="45" hidden="false" customHeight="true" outlineLevel="0" collapsed="false">
      <c r="B38" s="4" t="s">
        <v>50</v>
      </c>
      <c r="C38" s="4"/>
    </row>
    <row r="39" customFormat="false" ht="15" hidden="false" customHeight="false" outlineLevel="0" collapsed="false">
      <c r="B39" s="3" t="s">
        <v>51</v>
      </c>
    </row>
    <row r="40" customFormat="false" ht="31.5" hidden="false" customHeight="true" outlineLevel="0" collapsed="false">
      <c r="B40" s="5" t="s">
        <v>52</v>
      </c>
      <c r="C40" s="6" t="s">
        <v>53</v>
      </c>
    </row>
    <row r="41" customFormat="false" ht="31.5" hidden="false" customHeight="true" outlineLevel="0" collapsed="false">
      <c r="B41" s="5" t="s">
        <v>54</v>
      </c>
      <c r="C41" s="6" t="s">
        <v>55</v>
      </c>
    </row>
    <row r="42" customFormat="false" ht="31.5" hidden="false" customHeight="true" outlineLevel="0" collapsed="false">
      <c r="B42" s="5" t="s">
        <v>56</v>
      </c>
      <c r="C42" s="6" t="s">
        <v>57</v>
      </c>
    </row>
    <row r="43" customFormat="false" ht="31.5" hidden="false" customHeight="true" outlineLevel="0" collapsed="false">
      <c r="B43" s="5" t="s">
        <v>58</v>
      </c>
      <c r="C43" s="6" t="s">
        <v>59</v>
      </c>
    </row>
    <row r="44" customFormat="false" ht="31.5" hidden="false" customHeight="true" outlineLevel="0" collapsed="false">
      <c r="B44" s="5" t="s">
        <v>60</v>
      </c>
      <c r="C44" s="6" t="s">
        <v>61</v>
      </c>
    </row>
    <row r="46" customFormat="false" ht="15" hidden="false" customHeight="false" outlineLevel="0" collapsed="false">
      <c r="B46" s="3" t="s">
        <v>62</v>
      </c>
    </row>
    <row r="47" customFormat="false" ht="15" hidden="false" customHeight="false" outlineLevel="0" collapsed="false">
      <c r="B47" s="7" t="s">
        <v>63</v>
      </c>
      <c r="C47" s="8" t="s">
        <v>64</v>
      </c>
    </row>
    <row r="48" customFormat="false" ht="15" hidden="false" customHeight="false" outlineLevel="0" collapsed="false">
      <c r="B48" s="9" t="s">
        <v>65</v>
      </c>
      <c r="C48" s="8" t="s">
        <v>66</v>
      </c>
    </row>
    <row r="49" customFormat="false" ht="15" hidden="false" customHeight="false" outlineLevel="0" collapsed="false">
      <c r="B49" s="10" t="s">
        <v>67</v>
      </c>
      <c r="C49" s="8" t="s">
        <v>66</v>
      </c>
    </row>
    <row r="50" customFormat="false" ht="15" hidden="false" customHeight="false" outlineLevel="0" collapsed="false">
      <c r="B50" s="11" t="s">
        <v>68</v>
      </c>
      <c r="C50" s="8" t="s">
        <v>66</v>
      </c>
    </row>
    <row r="52" customFormat="false" ht="15" hidden="false" customHeight="false" outlineLevel="0" collapsed="false">
      <c r="B52" s="3" t="s">
        <v>69</v>
      </c>
    </row>
    <row r="53" customFormat="false" ht="84.75" hidden="false" customHeight="true" outlineLevel="0" collapsed="false">
      <c r="B53" s="4" t="s">
        <v>70</v>
      </c>
      <c r="C53" s="4"/>
    </row>
    <row r="55" customFormat="false" ht="15" hidden="false" customHeight="false" outlineLevel="0" collapsed="false">
      <c r="B55" s="3" t="s">
        <v>71</v>
      </c>
    </row>
    <row r="56" customFormat="false" ht="31.5" hidden="false" customHeight="true" outlineLevel="0" collapsed="false">
      <c r="B56" s="5" t="s">
        <v>72</v>
      </c>
      <c r="C56" s="6" t="s">
        <v>73</v>
      </c>
    </row>
    <row r="57" customFormat="false" ht="31.5" hidden="false" customHeight="true" outlineLevel="0" collapsed="false">
      <c r="B57" s="5" t="s">
        <v>74</v>
      </c>
      <c r="C57" s="6" t="s">
        <v>75</v>
      </c>
    </row>
    <row r="58" customFormat="false" ht="31.5" hidden="false" customHeight="true" outlineLevel="0" collapsed="false">
      <c r="B58" s="5" t="s">
        <v>76</v>
      </c>
      <c r="C58" s="6" t="s">
        <v>77</v>
      </c>
    </row>
    <row r="59" customFormat="false" ht="31.5" hidden="false" customHeight="true" outlineLevel="0" collapsed="false">
      <c r="B59" s="5" t="s">
        <v>78</v>
      </c>
      <c r="C59" s="6" t="s">
        <v>79</v>
      </c>
    </row>
    <row r="61" customFormat="false" ht="30" hidden="false" customHeight="true" outlineLevel="0" collapsed="false">
      <c r="B61" s="12" t="s">
        <v>80</v>
      </c>
      <c r="C61" s="12"/>
    </row>
  </sheetData>
  <mergeCells count="5">
    <mergeCell ref="B6:C6"/>
    <mergeCell ref="B9:C9"/>
    <mergeCell ref="B38:C38"/>
    <mergeCell ref="B53:C53"/>
    <mergeCell ref="B61:C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6" min="3" style="0" width="12"/>
  </cols>
  <sheetData>
    <row r="2" customFormat="false" ht="19.7" hidden="false" customHeight="false" outlineLevel="0" collapsed="false">
      <c r="B2" s="1" t="s">
        <v>81</v>
      </c>
    </row>
    <row r="3" customFormat="false" ht="15" hidden="false" customHeight="false" outlineLevel="0" collapsed="false">
      <c r="B3" s="2" t="s">
        <v>82</v>
      </c>
    </row>
    <row r="5" customFormat="false" ht="15" hidden="false" customHeight="false" outlineLevel="0" collapsed="false">
      <c r="B5" s="3" t="s">
        <v>83</v>
      </c>
    </row>
    <row r="6" customFormat="false" ht="15" hidden="false" customHeight="false" outlineLevel="0" collapsed="false">
      <c r="B6" s="13" t="s">
        <v>84</v>
      </c>
      <c r="C6" s="14" t="s">
        <v>65</v>
      </c>
      <c r="D6" s="15" t="s">
        <v>67</v>
      </c>
      <c r="E6" s="16" t="s">
        <v>68</v>
      </c>
      <c r="F6" s="13" t="s">
        <v>85</v>
      </c>
    </row>
    <row r="7" customFormat="false" ht="15" hidden="false" customHeight="false" outlineLevel="0" collapsed="false">
      <c r="B7" s="17" t="s">
        <v>86</v>
      </c>
      <c r="C7" s="18" t="n">
        <f aca="false">COUNTIFS(Questionnaire!$B$4:$B$200,$B7,Questionnaire!$J$4:$J$200,"Red")</f>
        <v>0</v>
      </c>
      <c r="D7" s="18" t="n">
        <f aca="false">COUNTIFS(Questionnaire!$B$4:$B$200,$B7,Questionnaire!$J$4:$J$200,"Amber")</f>
        <v>5</v>
      </c>
      <c r="E7" s="18" t="n">
        <f aca="false">COUNTIFS(Questionnaire!$B$4:$B$200,$B7,Questionnaire!$J$4:$J$200,"Green")</f>
        <v>7</v>
      </c>
      <c r="F7" s="19" t="n">
        <f aca="false">SUM(C7:E7)</f>
        <v>12</v>
      </c>
    </row>
    <row r="8" customFormat="false" ht="15" hidden="false" customHeight="false" outlineLevel="0" collapsed="false">
      <c r="B8" s="20" t="s">
        <v>87</v>
      </c>
      <c r="C8" s="18" t="n">
        <f aca="false">COUNTIFS(Questionnaire!$B$4:$B$200,$B8,Questionnaire!$J$4:$J$200,"Red")</f>
        <v>0</v>
      </c>
      <c r="D8" s="18" t="n">
        <f aca="false">COUNTIFS(Questionnaire!$B$4:$B$200,$B8,Questionnaire!$J$4:$J$200,"Amber")</f>
        <v>3</v>
      </c>
      <c r="E8" s="18" t="n">
        <f aca="false">COUNTIFS(Questionnaire!$B$4:$B$200,$B8,Questionnaire!$J$4:$J$200,"Green")</f>
        <v>2</v>
      </c>
      <c r="F8" s="19" t="n">
        <f aca="false">SUM(C8:E8)</f>
        <v>5</v>
      </c>
    </row>
    <row r="9" customFormat="false" ht="15" hidden="false" customHeight="false" outlineLevel="0" collapsed="false">
      <c r="B9" s="21" t="s">
        <v>88</v>
      </c>
      <c r="C9" s="18" t="n">
        <f aca="false">COUNTIFS(Questionnaire!$B$4:$B$200,$B9,Questionnaire!$J$4:$J$200,"Red")</f>
        <v>1</v>
      </c>
      <c r="D9" s="18" t="n">
        <f aca="false">COUNTIFS(Questionnaire!$B$4:$B$200,$B9,Questionnaire!$J$4:$J$200,"Amber")</f>
        <v>1</v>
      </c>
      <c r="E9" s="18" t="n">
        <f aca="false">COUNTIFS(Questionnaire!$B$4:$B$200,$B9,Questionnaire!$J$4:$J$200,"Green")</f>
        <v>4</v>
      </c>
      <c r="F9" s="19" t="n">
        <f aca="false">SUM(C9:E9)</f>
        <v>6</v>
      </c>
    </row>
    <row r="10" customFormat="false" ht="15" hidden="false" customHeight="false" outlineLevel="0" collapsed="false">
      <c r="B10" s="22" t="s">
        <v>89</v>
      </c>
      <c r="C10" s="18" t="n">
        <f aca="false">COUNTIFS(Questionnaire!$B$4:$B$200,$B10,Questionnaire!$J$4:$J$200,"Red")</f>
        <v>1</v>
      </c>
      <c r="D10" s="18" t="n">
        <f aca="false">COUNTIFS(Questionnaire!$B$4:$B$200,$B10,Questionnaire!$J$4:$J$200,"Amber")</f>
        <v>0</v>
      </c>
      <c r="E10" s="18" t="n">
        <f aca="false">COUNTIFS(Questionnaire!$B$4:$B$200,$B10,Questionnaire!$J$4:$J$200,"Green")</f>
        <v>3</v>
      </c>
      <c r="F10" s="19" t="n">
        <f aca="false">SUM(C10:E10)</f>
        <v>4</v>
      </c>
    </row>
    <row r="11" customFormat="false" ht="15" hidden="false" customHeight="false" outlineLevel="0" collapsed="false">
      <c r="B11" s="23" t="s">
        <v>90</v>
      </c>
      <c r="C11" s="18" t="n">
        <f aca="false">COUNTIFS(Questionnaire!$B$4:$B$200,$B11,Questionnaire!$J$4:$J$200,"Red")</f>
        <v>1</v>
      </c>
      <c r="D11" s="18" t="n">
        <f aca="false">COUNTIFS(Questionnaire!$B$4:$B$200,$B11,Questionnaire!$J$4:$J$200,"Amber")</f>
        <v>0</v>
      </c>
      <c r="E11" s="18" t="n">
        <f aca="false">COUNTIFS(Questionnaire!$B$4:$B$200,$B11,Questionnaire!$J$4:$J$200,"Green")</f>
        <v>3</v>
      </c>
      <c r="F11" s="19" t="n">
        <f aca="false">SUM(C11:E11)</f>
        <v>4</v>
      </c>
    </row>
    <row r="12" customFormat="false" ht="15" hidden="false" customHeight="false" outlineLevel="0" collapsed="false">
      <c r="B12" s="24" t="s">
        <v>91</v>
      </c>
      <c r="C12" s="18" t="n">
        <f aca="false">COUNTIFS(Questionnaire!$B$4:$B$200,$B12,Questionnaire!$J$4:$J$200,"Red")</f>
        <v>0</v>
      </c>
      <c r="D12" s="18" t="n">
        <f aca="false">COUNTIFS(Questionnaire!$B$4:$B$200,$B12,Questionnaire!$J$4:$J$200,"Amber")</f>
        <v>1</v>
      </c>
      <c r="E12" s="18" t="n">
        <f aca="false">COUNTIFS(Questionnaire!$B$4:$B$200,$B12,Questionnaire!$J$4:$J$200,"Green")</f>
        <v>2</v>
      </c>
      <c r="F12" s="19" t="n">
        <f aca="false">SUM(C12:E12)</f>
        <v>3</v>
      </c>
    </row>
    <row r="13" customFormat="false" ht="15" hidden="false" customHeight="false" outlineLevel="0" collapsed="false">
      <c r="B13" s="5" t="s">
        <v>85</v>
      </c>
      <c r="C13" s="19" t="n">
        <f aca="false">SUM(C7:C12)</f>
        <v>3</v>
      </c>
      <c r="D13" s="19" t="n">
        <f aca="false">SUM(D7:D12)</f>
        <v>10</v>
      </c>
      <c r="E13" s="19" t="n">
        <f aca="false">SUM(E7:E12)</f>
        <v>21</v>
      </c>
      <c r="F13" s="19" t="n">
        <f aca="false">SUM(F7:F12)</f>
        <v>34</v>
      </c>
    </row>
    <row r="15" customFormat="false" ht="15" hidden="false" customHeight="false" outlineLevel="0" collapsed="false">
      <c r="B15" s="3" t="s">
        <v>92</v>
      </c>
    </row>
    <row r="16" customFormat="false" ht="15" hidden="false" customHeight="false" outlineLevel="0" collapsed="false">
      <c r="B16" s="13" t="s">
        <v>93</v>
      </c>
      <c r="C16" s="14" t="s">
        <v>65</v>
      </c>
      <c r="D16" s="15" t="s">
        <v>67</v>
      </c>
      <c r="E16" s="16" t="s">
        <v>68</v>
      </c>
      <c r="F16" s="13" t="s">
        <v>94</v>
      </c>
    </row>
    <row r="17" customFormat="false" ht="15" hidden="false" customHeight="false" outlineLevel="0" collapsed="false">
      <c r="B17" s="25" t="s">
        <v>95</v>
      </c>
      <c r="C17" s="18" t="n">
        <f aca="false">COUNTIFS(Questionnaire!$C$4:$C$200,$B17,Questionnaire!$J$4:$J$200,"Red")</f>
        <v>0</v>
      </c>
      <c r="D17" s="18" t="n">
        <f aca="false">COUNTIFS(Questionnaire!$C$4:$C$200,$B17,Questionnaire!$J$4:$J$200,"Amber")</f>
        <v>3</v>
      </c>
      <c r="E17" s="18" t="n">
        <f aca="false">COUNTIFS(Questionnaire!$C$4:$C$200,$B17,Questionnaire!$J$4:$J$200,"Green")</f>
        <v>16</v>
      </c>
      <c r="F17" s="19" t="n">
        <f aca="false">COUNTIF(Questionnaire!$C$4:$C$200,$B17)</f>
        <v>19</v>
      </c>
    </row>
    <row r="18" customFormat="false" ht="15" hidden="false" customHeight="false" outlineLevel="0" collapsed="false">
      <c r="B18" s="26" t="s">
        <v>96</v>
      </c>
      <c r="C18" s="18" t="n">
        <f aca="false">COUNTIFS(Questionnaire!$C$4:$C$200,$B18,Questionnaire!$J$4:$J$200,"Red")</f>
        <v>3</v>
      </c>
      <c r="D18" s="18" t="n">
        <f aca="false">COUNTIFS(Questionnaire!$C$4:$C$200,$B18,Questionnaire!$J$4:$J$200,"Amber")</f>
        <v>7</v>
      </c>
      <c r="E18" s="18" t="n">
        <f aca="false">COUNTIFS(Questionnaire!$C$4:$C$200,$B18,Questionnaire!$J$4:$J$200,"Green")</f>
        <v>5</v>
      </c>
      <c r="F18" s="19" t="n">
        <f aca="false">COUNTIF(Questionnaire!$C$4:$C$200,$B18)</f>
        <v>15</v>
      </c>
    </row>
    <row r="20" customFormat="false" ht="15" hidden="false" customHeight="false" outlineLevel="0" collapsed="false">
      <c r="B20" s="3" t="s">
        <v>97</v>
      </c>
    </row>
    <row r="21" customFormat="false" ht="15" hidden="false" customHeight="false" outlineLevel="0" collapsed="false">
      <c r="B21" s="5" t="s">
        <v>98</v>
      </c>
      <c r="C21" s="18" t="n">
        <f aca="false">COUNTIF(Questionnaire!$M$4:$M$200,"Blocker*")</f>
        <v>0</v>
      </c>
    </row>
    <row r="22" customFormat="false" ht="23.85" hidden="false" customHeight="false" outlineLevel="0" collapsed="false">
      <c r="B22" s="5" t="s">
        <v>99</v>
      </c>
      <c r="C22" s="18" t="n">
        <f aca="false">COUNTIF(Questionnaire!$M$4:$M$200,"Condition*")</f>
        <v>1</v>
      </c>
    </row>
    <row r="23" customFormat="false" ht="15" hidden="false" customHeight="false" outlineLevel="0" collapsed="false">
      <c r="B23" s="5" t="s">
        <v>100</v>
      </c>
      <c r="C23" s="18" t="n">
        <f aca="false">COUNTIF(Questionnaire!$M$4:$M$200,"Resolved")</f>
        <v>12</v>
      </c>
    </row>
    <row r="24" customFormat="false" ht="15" hidden="false" customHeight="false" outlineLevel="0" collapsed="false">
      <c r="B24" s="5" t="s">
        <v>101</v>
      </c>
      <c r="C24" s="18" t="n">
        <f aca="false">COUNTIF(Questionnaire!$M$4:$M$200,"No action")</f>
        <v>21</v>
      </c>
    </row>
    <row r="26" customFormat="false" ht="24" hidden="false" customHeight="true" outlineLevel="0" collapsed="false">
      <c r="B26" s="5" t="s">
        <v>102</v>
      </c>
      <c r="C26" s="5" t="str">
        <f aca="false">IF(F13=0,"",IF(C21&gt;0,"Do not sign yet",IF(F13&lt;F17+F18,"Incomplete: "&amp;(F17+F18-F13)&amp;" not rated",IF(C22&gt;0,"Sign: conditions before go-live","Sign"))))</f>
        <v>Sign: conditions before go-live</v>
      </c>
      <c r="D26" s="5"/>
      <c r="E26" s="5"/>
      <c r="F26" s="5"/>
    </row>
  </sheetData>
  <mergeCells count="1">
    <mergeCell ref="C26:F26"/>
  </mergeCells>
  <conditionalFormatting sqref="C26">
    <cfRule type="expression" priority="2" aboveAverage="0" equalAverage="0" bottom="0" percent="0" rank="0" text="" dxfId="0">
      <formula>LEFT(C26,6)="Do not"</formula>
    </cfRule>
    <cfRule type="expression" priority="3" aboveAverage="0" equalAverage="0" bottom="0" percent="0" rank="0" text="" dxfId="1">
      <formula>C26="Sign: conditions before go-live"</formula>
    </cfRule>
    <cfRule type="expression" priority="4" aboveAverage="0" equalAverage="0" bottom="0" percent="0" rank="0" text="" dxfId="2">
      <formula>C26="Sign"</formula>
    </cfRule>
    <cfRule type="expression" priority="5" aboveAverage="0" equalAverage="0" bottom="0" percent="0" rank="0" text="" dxfId="3">
      <formula>LEFT(C26,10)="Incomplete"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5"/>
    <col collapsed="false" customWidth="true" hidden="false" outlineLevel="0" max="3" min="3" style="0" width="14"/>
    <col collapsed="false" customWidth="true" hidden="false" outlineLevel="0" max="4" min="4" style="0" width="44"/>
    <col collapsed="false" customWidth="true" hidden="false" outlineLevel="0" max="6" min="5" style="0" width="46"/>
    <col collapsed="false" customWidth="true" hidden="false" outlineLevel="0" max="7" min="7" style="0" width="30"/>
    <col collapsed="false" customWidth="true" hidden="false" outlineLevel="0" max="8" min="8" style="0" width="48"/>
    <col collapsed="false" customWidth="true" hidden="false" outlineLevel="0" max="9" min="9" style="0" width="24"/>
    <col collapsed="false" customWidth="true" hidden="false" outlineLevel="0" max="10" min="10" style="0" width="10"/>
    <col collapsed="false" customWidth="true" hidden="false" outlineLevel="0" max="11" min="11" style="0" width="34"/>
    <col collapsed="false" customWidth="true" hidden="false" outlineLevel="0" max="12" min="12" style="0" width="14"/>
    <col collapsed="false" customWidth="true" hidden="false" outlineLevel="0" max="13" min="13" style="0" width="26"/>
    <col collapsed="false" customWidth="true" hidden="false" outlineLevel="0" max="14" min="14" style="0" width="24"/>
    <col collapsed="false" customWidth="true" hidden="false" outlineLevel="0" max="15" min="15" style="0" width="34"/>
  </cols>
  <sheetData>
    <row r="1" customFormat="false" ht="19.7" hidden="false" customHeight="false" outlineLevel="0" collapsed="false">
      <c r="A1" s="1" t="s">
        <v>103</v>
      </c>
    </row>
    <row r="2" customFormat="false" ht="15" hidden="false" customHeight="false" outlineLevel="0" collapsed="false">
      <c r="A2" s="2" t="s">
        <v>104</v>
      </c>
    </row>
    <row r="3" customFormat="false" ht="39.75" hidden="false" customHeight="true" outlineLevel="0" collapsed="false">
      <c r="A3" s="13" t="s">
        <v>105</v>
      </c>
      <c r="B3" s="13" t="s">
        <v>84</v>
      </c>
      <c r="C3" s="13" t="s">
        <v>93</v>
      </c>
      <c r="D3" s="13" t="s">
        <v>106</v>
      </c>
      <c r="E3" s="13" t="s">
        <v>107</v>
      </c>
      <c r="F3" s="13" t="s">
        <v>108</v>
      </c>
      <c r="G3" s="13" t="s">
        <v>109</v>
      </c>
      <c r="H3" s="13" t="s">
        <v>110</v>
      </c>
      <c r="I3" s="13" t="s">
        <v>111</v>
      </c>
      <c r="J3" s="13" t="s">
        <v>66</v>
      </c>
      <c r="K3" s="13" t="s">
        <v>112</v>
      </c>
      <c r="L3" s="13" t="s">
        <v>113</v>
      </c>
      <c r="M3" s="13" t="s">
        <v>97</v>
      </c>
      <c r="N3" s="13" t="s">
        <v>114</v>
      </c>
      <c r="O3" s="13" t="s">
        <v>115</v>
      </c>
    </row>
    <row r="4" customFormat="false" ht="82.5" hidden="false" customHeight="true" outlineLevel="0" collapsed="false">
      <c r="A4" s="27" t="s">
        <v>116</v>
      </c>
      <c r="B4" s="28" t="s">
        <v>86</v>
      </c>
      <c r="C4" s="29" t="s">
        <v>95</v>
      </c>
      <c r="D4" s="6" t="s">
        <v>117</v>
      </c>
      <c r="E4" s="6" t="s">
        <v>118</v>
      </c>
      <c r="F4" s="6" t="s">
        <v>119</v>
      </c>
      <c r="G4" s="6"/>
      <c r="H4" s="6" t="s">
        <v>120</v>
      </c>
      <c r="I4" s="6" t="s">
        <v>121</v>
      </c>
      <c r="J4" s="30" t="s">
        <v>68</v>
      </c>
      <c r="K4" s="6" t="s">
        <v>122</v>
      </c>
      <c r="L4" s="31" t="s">
        <v>123</v>
      </c>
      <c r="M4" s="5" t="str">
        <f aca="false">IF(J4="","",IF(J4="Green","No action",IF(L4="Yes","Resolved",IF(J4="Red","Blocker: do not sign","Condition before go-live"))))</f>
        <v>No action</v>
      </c>
      <c r="N4" s="6" t="s">
        <v>124</v>
      </c>
      <c r="O4" s="6" t="s">
        <v>125</v>
      </c>
    </row>
    <row r="5" customFormat="false" ht="66" hidden="false" customHeight="true" outlineLevel="0" collapsed="false">
      <c r="A5" s="27" t="s">
        <v>126</v>
      </c>
      <c r="B5" s="28" t="s">
        <v>86</v>
      </c>
      <c r="C5" s="29" t="s">
        <v>95</v>
      </c>
      <c r="D5" s="6" t="s">
        <v>127</v>
      </c>
      <c r="E5" s="6" t="s">
        <v>128</v>
      </c>
      <c r="F5" s="6" t="s">
        <v>129</v>
      </c>
      <c r="G5" s="6"/>
      <c r="H5" s="6" t="s">
        <v>130</v>
      </c>
      <c r="I5" s="6" t="s">
        <v>131</v>
      </c>
      <c r="J5" s="30" t="s">
        <v>67</v>
      </c>
      <c r="K5" s="6" t="s">
        <v>132</v>
      </c>
      <c r="L5" s="31" t="s">
        <v>123</v>
      </c>
      <c r="M5" s="5" t="str">
        <f aca="false">IF(J5="","",IF(J5="Green","No action",IF(L5="Yes","Resolved",IF(J5="Red","Blocker: do not sign","Condition before go-live"))))</f>
        <v>Resolved</v>
      </c>
      <c r="N5" s="6" t="s">
        <v>133</v>
      </c>
      <c r="O5" s="6" t="s">
        <v>134</v>
      </c>
    </row>
    <row r="6" customFormat="false" ht="63.75" hidden="false" customHeight="true" outlineLevel="0" collapsed="false">
      <c r="A6" s="27" t="s">
        <v>135</v>
      </c>
      <c r="B6" s="28" t="s">
        <v>86</v>
      </c>
      <c r="C6" s="29" t="s">
        <v>95</v>
      </c>
      <c r="D6" s="6" t="s">
        <v>136</v>
      </c>
      <c r="E6" s="6" t="s">
        <v>137</v>
      </c>
      <c r="F6" s="6" t="s">
        <v>138</v>
      </c>
      <c r="G6" s="6"/>
      <c r="H6" s="6" t="s">
        <v>139</v>
      </c>
      <c r="I6" s="6" t="s">
        <v>140</v>
      </c>
      <c r="J6" s="30" t="s">
        <v>68</v>
      </c>
      <c r="K6" s="6" t="s">
        <v>141</v>
      </c>
      <c r="L6" s="31" t="s">
        <v>123</v>
      </c>
      <c r="M6" s="5" t="str">
        <f aca="false">IF(J6="","",IF(J6="Green","No action",IF(L6="Yes","Resolved",IF(J6="Red","Blocker: do not sign","Condition before go-live"))))</f>
        <v>No action</v>
      </c>
      <c r="N6" s="6" t="s">
        <v>133</v>
      </c>
      <c r="O6" s="6" t="s">
        <v>125</v>
      </c>
    </row>
    <row r="7" customFormat="false" ht="63.75" hidden="false" customHeight="true" outlineLevel="0" collapsed="false">
      <c r="A7" s="27" t="s">
        <v>142</v>
      </c>
      <c r="B7" s="28" t="s">
        <v>86</v>
      </c>
      <c r="C7" s="29" t="s">
        <v>95</v>
      </c>
      <c r="D7" s="6" t="s">
        <v>143</v>
      </c>
      <c r="E7" s="6" t="s">
        <v>144</v>
      </c>
      <c r="F7" s="6" t="s">
        <v>145</v>
      </c>
      <c r="G7" s="6"/>
      <c r="H7" s="6" t="s">
        <v>146</v>
      </c>
      <c r="I7" s="6" t="s">
        <v>147</v>
      </c>
      <c r="J7" s="30" t="s">
        <v>68</v>
      </c>
      <c r="K7" s="6" t="s">
        <v>148</v>
      </c>
      <c r="L7" s="31" t="s">
        <v>123</v>
      </c>
      <c r="M7" s="5" t="str">
        <f aca="false">IF(J7="","",IF(J7="Green","No action",IF(L7="Yes","Resolved",IF(J7="Red","Blocker: do not sign","Condition before go-live"))))</f>
        <v>No action</v>
      </c>
      <c r="N7" s="6" t="s">
        <v>149</v>
      </c>
      <c r="O7" s="6" t="s">
        <v>150</v>
      </c>
    </row>
    <row r="8" customFormat="false" ht="84.75" hidden="false" customHeight="true" outlineLevel="0" collapsed="false">
      <c r="A8" s="27" t="s">
        <v>151</v>
      </c>
      <c r="B8" s="28" t="s">
        <v>86</v>
      </c>
      <c r="C8" s="29" t="s">
        <v>95</v>
      </c>
      <c r="D8" s="6" t="s">
        <v>152</v>
      </c>
      <c r="E8" s="6" t="s">
        <v>153</v>
      </c>
      <c r="F8" s="6" t="s">
        <v>154</v>
      </c>
      <c r="G8" s="6"/>
      <c r="H8" s="6" t="s">
        <v>155</v>
      </c>
      <c r="I8" s="6" t="s">
        <v>156</v>
      </c>
      <c r="J8" s="30" t="s">
        <v>68</v>
      </c>
      <c r="K8" s="6" t="s">
        <v>157</v>
      </c>
      <c r="L8" s="31" t="s">
        <v>123</v>
      </c>
      <c r="M8" s="5" t="str">
        <f aca="false">IF(J8="","",IF(J8="Green","No action",IF(L8="Yes","Resolved",IF(J8="Red","Blocker: do not sign","Condition before go-live"))))</f>
        <v>No action</v>
      </c>
      <c r="N8" s="6" t="s">
        <v>158</v>
      </c>
      <c r="O8" s="6" t="s">
        <v>125</v>
      </c>
    </row>
    <row r="9" customFormat="false" ht="63.75" hidden="false" customHeight="true" outlineLevel="0" collapsed="false">
      <c r="A9" s="27" t="s">
        <v>159</v>
      </c>
      <c r="B9" s="28" t="s">
        <v>86</v>
      </c>
      <c r="C9" s="29" t="s">
        <v>95</v>
      </c>
      <c r="D9" s="6" t="s">
        <v>160</v>
      </c>
      <c r="E9" s="6" t="s">
        <v>161</v>
      </c>
      <c r="F9" s="6" t="s">
        <v>162</v>
      </c>
      <c r="G9" s="6"/>
      <c r="H9" s="6" t="s">
        <v>163</v>
      </c>
      <c r="I9" s="6" t="s">
        <v>164</v>
      </c>
      <c r="J9" s="30" t="s">
        <v>68</v>
      </c>
      <c r="K9" s="6" t="s">
        <v>165</v>
      </c>
      <c r="L9" s="31" t="s">
        <v>123</v>
      </c>
      <c r="M9" s="5" t="str">
        <f aca="false">IF(J9="","",IF(J9="Green","No action",IF(L9="Yes","Resolved",IF(J9="Red","Blocker: do not sign","Condition before go-live"))))</f>
        <v>No action</v>
      </c>
      <c r="N9" s="6" t="s">
        <v>158</v>
      </c>
      <c r="O9" s="6" t="s">
        <v>125</v>
      </c>
    </row>
    <row r="10" customFormat="false" ht="63.75" hidden="false" customHeight="true" outlineLevel="0" collapsed="false">
      <c r="A10" s="27" t="s">
        <v>166</v>
      </c>
      <c r="B10" s="28" t="s">
        <v>86</v>
      </c>
      <c r="C10" s="29" t="s">
        <v>95</v>
      </c>
      <c r="D10" s="6" t="s">
        <v>167</v>
      </c>
      <c r="E10" s="6" t="s">
        <v>168</v>
      </c>
      <c r="F10" s="6" t="s">
        <v>169</v>
      </c>
      <c r="G10" s="6"/>
      <c r="H10" s="6" t="s">
        <v>170</v>
      </c>
      <c r="I10" s="6" t="s">
        <v>171</v>
      </c>
      <c r="J10" s="30" t="s">
        <v>67</v>
      </c>
      <c r="K10" s="6" t="s">
        <v>172</v>
      </c>
      <c r="L10" s="31" t="s">
        <v>123</v>
      </c>
      <c r="M10" s="5" t="str">
        <f aca="false">IF(J10="","",IF(J10="Green","No action",IF(L10="Yes","Resolved",IF(J10="Red","Blocker: do not sign","Condition before go-live"))))</f>
        <v>Resolved</v>
      </c>
      <c r="N10" s="6" t="s">
        <v>158</v>
      </c>
      <c r="O10" s="6" t="s">
        <v>173</v>
      </c>
    </row>
    <row r="11" customFormat="false" ht="63.75" hidden="false" customHeight="true" outlineLevel="0" collapsed="false">
      <c r="A11" s="27" t="s">
        <v>174</v>
      </c>
      <c r="B11" s="28" t="s">
        <v>86</v>
      </c>
      <c r="C11" s="29" t="s">
        <v>95</v>
      </c>
      <c r="D11" s="6" t="s">
        <v>175</v>
      </c>
      <c r="E11" s="6" t="s">
        <v>176</v>
      </c>
      <c r="F11" s="6" t="s">
        <v>177</v>
      </c>
      <c r="G11" s="6"/>
      <c r="H11" s="6" t="s">
        <v>178</v>
      </c>
      <c r="I11" s="6" t="s">
        <v>179</v>
      </c>
      <c r="J11" s="30" t="s">
        <v>68</v>
      </c>
      <c r="K11" s="6" t="s">
        <v>180</v>
      </c>
      <c r="L11" s="31" t="s">
        <v>123</v>
      </c>
      <c r="M11" s="5" t="str">
        <f aca="false">IF(J11="","",IF(J11="Green","No action",IF(L11="Yes","Resolved",IF(J11="Red","Blocker: do not sign","Condition before go-live"))))</f>
        <v>No action</v>
      </c>
      <c r="N11" s="6" t="s">
        <v>133</v>
      </c>
      <c r="O11" s="6" t="s">
        <v>125</v>
      </c>
    </row>
    <row r="12" customFormat="false" ht="63.75" hidden="false" customHeight="true" outlineLevel="0" collapsed="false">
      <c r="A12" s="27" t="s">
        <v>181</v>
      </c>
      <c r="B12" s="28" t="s">
        <v>86</v>
      </c>
      <c r="C12" s="26" t="s">
        <v>96</v>
      </c>
      <c r="D12" s="6" t="s">
        <v>182</v>
      </c>
      <c r="E12" s="6" t="s">
        <v>183</v>
      </c>
      <c r="F12" s="6" t="s">
        <v>184</v>
      </c>
      <c r="G12" s="6"/>
      <c r="H12" s="6" t="s">
        <v>185</v>
      </c>
      <c r="I12" s="6" t="s">
        <v>156</v>
      </c>
      <c r="J12" s="30" t="s">
        <v>67</v>
      </c>
      <c r="K12" s="6" t="s">
        <v>186</v>
      </c>
      <c r="L12" s="31" t="s">
        <v>123</v>
      </c>
      <c r="M12" s="5" t="str">
        <f aca="false">IF(J12="","",IF(J12="Green","No action",IF(L12="Yes","Resolved",IF(J12="Red","Blocker: do not sign","Condition before go-live"))))</f>
        <v>Resolved</v>
      </c>
      <c r="N12" s="6" t="s">
        <v>133</v>
      </c>
      <c r="O12" s="6" t="s">
        <v>187</v>
      </c>
    </row>
    <row r="13" customFormat="false" ht="63.75" hidden="false" customHeight="true" outlineLevel="0" collapsed="false">
      <c r="A13" s="27" t="s">
        <v>188</v>
      </c>
      <c r="B13" s="28" t="s">
        <v>86</v>
      </c>
      <c r="C13" s="29" t="s">
        <v>95</v>
      </c>
      <c r="D13" s="6" t="s">
        <v>189</v>
      </c>
      <c r="E13" s="6" t="s">
        <v>190</v>
      </c>
      <c r="F13" s="6" t="s">
        <v>191</v>
      </c>
      <c r="G13" s="6"/>
      <c r="H13" s="6" t="s">
        <v>192</v>
      </c>
      <c r="I13" s="6" t="s">
        <v>193</v>
      </c>
      <c r="J13" s="30" t="s">
        <v>68</v>
      </c>
      <c r="K13" s="6" t="s">
        <v>194</v>
      </c>
      <c r="L13" s="31" t="s">
        <v>123</v>
      </c>
      <c r="M13" s="5" t="str">
        <f aca="false">IF(J13="","",IF(J13="Green","No action",IF(L13="Yes","Resolved",IF(J13="Red","Blocker: do not sign","Condition before go-live"))))</f>
        <v>No action</v>
      </c>
      <c r="N13" s="6" t="s">
        <v>124</v>
      </c>
      <c r="O13" s="6" t="s">
        <v>125</v>
      </c>
    </row>
    <row r="14" customFormat="false" ht="63.75" hidden="false" customHeight="true" outlineLevel="0" collapsed="false">
      <c r="A14" s="27" t="s">
        <v>195</v>
      </c>
      <c r="B14" s="28" t="s">
        <v>86</v>
      </c>
      <c r="C14" s="26" t="s">
        <v>96</v>
      </c>
      <c r="D14" s="6" t="s">
        <v>196</v>
      </c>
      <c r="E14" s="6" t="s">
        <v>197</v>
      </c>
      <c r="F14" s="6" t="s">
        <v>184</v>
      </c>
      <c r="G14" s="6"/>
      <c r="H14" s="6" t="s">
        <v>198</v>
      </c>
      <c r="I14" s="6" t="s">
        <v>199</v>
      </c>
      <c r="J14" s="30" t="s">
        <v>67</v>
      </c>
      <c r="K14" s="6" t="s">
        <v>200</v>
      </c>
      <c r="L14" s="31" t="s">
        <v>123</v>
      </c>
      <c r="M14" s="5" t="str">
        <f aca="false">IF(J14="","",IF(J14="Green","No action",IF(L14="Yes","Resolved",IF(J14="Red","Blocker: do not sign","Condition before go-live"))))</f>
        <v>Resolved</v>
      </c>
      <c r="N14" s="6" t="s">
        <v>133</v>
      </c>
      <c r="O14" s="6" t="s">
        <v>201</v>
      </c>
    </row>
    <row r="15" customFormat="false" ht="84" hidden="false" customHeight="true" outlineLevel="0" collapsed="false">
      <c r="A15" s="27" t="s">
        <v>202</v>
      </c>
      <c r="B15" s="28" t="s">
        <v>86</v>
      </c>
      <c r="C15" s="26" t="s">
        <v>96</v>
      </c>
      <c r="D15" s="6" t="s">
        <v>203</v>
      </c>
      <c r="E15" s="6" t="s">
        <v>204</v>
      </c>
      <c r="F15" s="6" t="s">
        <v>205</v>
      </c>
      <c r="G15" s="6"/>
      <c r="H15" s="6" t="s">
        <v>206</v>
      </c>
      <c r="I15" s="6" t="s">
        <v>207</v>
      </c>
      <c r="J15" s="30" t="s">
        <v>67</v>
      </c>
      <c r="K15" s="6" t="s">
        <v>208</v>
      </c>
      <c r="L15" s="31" t="s">
        <v>123</v>
      </c>
      <c r="M15" s="5" t="str">
        <f aca="false">IF(J15="","",IF(J15="Green","No action",IF(L15="Yes","Resolved",IF(J15="Red","Blocker: do not sign","Condition before go-live"))))</f>
        <v>Resolved</v>
      </c>
      <c r="N15" s="6" t="s">
        <v>124</v>
      </c>
      <c r="O15" s="6" t="s">
        <v>209</v>
      </c>
    </row>
    <row r="16" customFormat="false" ht="63.75" hidden="false" customHeight="true" outlineLevel="0" collapsed="false">
      <c r="A16" s="32" t="s">
        <v>210</v>
      </c>
      <c r="B16" s="33" t="s">
        <v>87</v>
      </c>
      <c r="C16" s="26" t="s">
        <v>96</v>
      </c>
      <c r="D16" s="6" t="s">
        <v>211</v>
      </c>
      <c r="E16" s="6" t="s">
        <v>212</v>
      </c>
      <c r="F16" s="6" t="s">
        <v>184</v>
      </c>
      <c r="G16" s="6"/>
      <c r="H16" s="6" t="s">
        <v>213</v>
      </c>
      <c r="I16" s="6" t="s">
        <v>214</v>
      </c>
      <c r="J16" s="30" t="s">
        <v>68</v>
      </c>
      <c r="K16" s="6" t="s">
        <v>215</v>
      </c>
      <c r="L16" s="31" t="s">
        <v>123</v>
      </c>
      <c r="M16" s="5" t="str">
        <f aca="false">IF(J16="","",IF(J16="Green","No action",IF(L16="Yes","Resolved",IF(J16="Red","Blocker: do not sign","Condition before go-live"))))</f>
        <v>No action</v>
      </c>
      <c r="N16" s="6" t="s">
        <v>124</v>
      </c>
      <c r="O16" s="6" t="s">
        <v>125</v>
      </c>
    </row>
    <row r="17" customFormat="false" ht="63.75" hidden="false" customHeight="true" outlineLevel="0" collapsed="false">
      <c r="A17" s="32" t="s">
        <v>216</v>
      </c>
      <c r="B17" s="33" t="s">
        <v>87</v>
      </c>
      <c r="C17" s="26" t="s">
        <v>96</v>
      </c>
      <c r="D17" s="6" t="s">
        <v>217</v>
      </c>
      <c r="E17" s="6" t="s">
        <v>218</v>
      </c>
      <c r="F17" s="6" t="s">
        <v>184</v>
      </c>
      <c r="G17" s="6"/>
      <c r="H17" s="6" t="s">
        <v>219</v>
      </c>
      <c r="I17" s="6" t="s">
        <v>220</v>
      </c>
      <c r="J17" s="30" t="s">
        <v>67</v>
      </c>
      <c r="K17" s="6" t="s">
        <v>221</v>
      </c>
      <c r="L17" s="31" t="s">
        <v>123</v>
      </c>
      <c r="M17" s="5" t="str">
        <f aca="false">IF(J17="","",IF(J17="Green","No action",IF(L17="Yes","Resolved",IF(J17="Red","Blocker: do not sign","Condition before go-live"))))</f>
        <v>Resolved</v>
      </c>
      <c r="N17" s="6" t="s">
        <v>124</v>
      </c>
      <c r="O17" s="6" t="s">
        <v>222</v>
      </c>
    </row>
    <row r="18" customFormat="false" ht="195.75" hidden="false" customHeight="true" outlineLevel="0" collapsed="false">
      <c r="A18" s="32" t="s">
        <v>223</v>
      </c>
      <c r="B18" s="33" t="s">
        <v>87</v>
      </c>
      <c r="C18" s="26" t="s">
        <v>96</v>
      </c>
      <c r="D18" s="6" t="s">
        <v>224</v>
      </c>
      <c r="E18" s="6" t="s">
        <v>225</v>
      </c>
      <c r="F18" s="6" t="s">
        <v>226</v>
      </c>
      <c r="G18" s="6"/>
      <c r="H18" s="6" t="s">
        <v>227</v>
      </c>
      <c r="I18" s="6" t="s">
        <v>228</v>
      </c>
      <c r="J18" s="30" t="s">
        <v>67</v>
      </c>
      <c r="K18" s="6" t="s">
        <v>229</v>
      </c>
      <c r="L18" s="31" t="s">
        <v>123</v>
      </c>
      <c r="M18" s="5" t="str">
        <f aca="false">IF(J18="","",IF(J18="Green","No action",IF(L18="Yes","Resolved",IF(J18="Red","Blocker: do not sign","Condition before go-live"))))</f>
        <v>Resolved</v>
      </c>
      <c r="N18" s="6" t="s">
        <v>124</v>
      </c>
      <c r="O18" s="6" t="s">
        <v>230</v>
      </c>
    </row>
    <row r="19" customFormat="false" ht="63.75" hidden="false" customHeight="true" outlineLevel="0" collapsed="false">
      <c r="A19" s="32" t="s">
        <v>231</v>
      </c>
      <c r="B19" s="33" t="s">
        <v>87</v>
      </c>
      <c r="C19" s="26" t="s">
        <v>96</v>
      </c>
      <c r="D19" s="6" t="s">
        <v>232</v>
      </c>
      <c r="E19" s="6" t="s">
        <v>233</v>
      </c>
      <c r="F19" s="6" t="s">
        <v>234</v>
      </c>
      <c r="G19" s="6"/>
      <c r="H19" s="6" t="s">
        <v>235</v>
      </c>
      <c r="I19" s="6" t="s">
        <v>236</v>
      </c>
      <c r="J19" s="30" t="s">
        <v>67</v>
      </c>
      <c r="K19" s="6" t="s">
        <v>237</v>
      </c>
      <c r="L19" s="31" t="s">
        <v>123</v>
      </c>
      <c r="M19" s="5" t="str">
        <f aca="false">IF(J19="","",IF(J19="Green","No action",IF(L19="Yes","Resolved",IF(J19="Red","Blocker: do not sign","Condition before go-live"))))</f>
        <v>Resolved</v>
      </c>
      <c r="N19" s="6" t="s">
        <v>238</v>
      </c>
      <c r="O19" s="6" t="s">
        <v>239</v>
      </c>
    </row>
    <row r="20" customFormat="false" ht="63.75" hidden="false" customHeight="true" outlineLevel="0" collapsed="false">
      <c r="A20" s="32" t="s">
        <v>240</v>
      </c>
      <c r="B20" s="33" t="s">
        <v>87</v>
      </c>
      <c r="C20" s="26" t="s">
        <v>96</v>
      </c>
      <c r="D20" s="6" t="s">
        <v>241</v>
      </c>
      <c r="E20" s="6" t="s">
        <v>242</v>
      </c>
      <c r="F20" s="6" t="s">
        <v>243</v>
      </c>
      <c r="G20" s="6"/>
      <c r="H20" s="6" t="s">
        <v>244</v>
      </c>
      <c r="I20" s="6" t="s">
        <v>245</v>
      </c>
      <c r="J20" s="30" t="s">
        <v>68</v>
      </c>
      <c r="K20" s="6" t="s">
        <v>246</v>
      </c>
      <c r="L20" s="31" t="s">
        <v>123</v>
      </c>
      <c r="M20" s="5" t="str">
        <f aca="false">IF(J20="","",IF(J20="Green","No action",IF(L20="Yes","Resolved",IF(J20="Red","Blocker: do not sign","Condition before go-live"))))</f>
        <v>No action</v>
      </c>
      <c r="N20" s="6" t="s">
        <v>238</v>
      </c>
      <c r="O20" s="6" t="s">
        <v>125</v>
      </c>
    </row>
    <row r="21" customFormat="false" ht="87" hidden="false" customHeight="true" outlineLevel="0" collapsed="false">
      <c r="A21" s="34" t="s">
        <v>247</v>
      </c>
      <c r="B21" s="35" t="s">
        <v>88</v>
      </c>
      <c r="C21" s="29" t="s">
        <v>95</v>
      </c>
      <c r="D21" s="6" t="s">
        <v>248</v>
      </c>
      <c r="E21" s="6" t="s">
        <v>249</v>
      </c>
      <c r="F21" s="6" t="s">
        <v>250</v>
      </c>
      <c r="G21" s="6"/>
      <c r="H21" s="6" t="s">
        <v>251</v>
      </c>
      <c r="I21" s="6" t="s">
        <v>252</v>
      </c>
      <c r="J21" s="30" t="s">
        <v>67</v>
      </c>
      <c r="K21" s="6" t="s">
        <v>252</v>
      </c>
      <c r="L21" s="31" t="s">
        <v>123</v>
      </c>
      <c r="M21" s="5" t="str">
        <f aca="false">IF(J21="","",IF(J21="Green","No action",IF(L21="Yes","Resolved",IF(J21="Red","Blocker: do not sign","Condition before go-live"))))</f>
        <v>Resolved</v>
      </c>
      <c r="N21" s="6" t="s">
        <v>158</v>
      </c>
      <c r="O21" s="6" t="s">
        <v>253</v>
      </c>
    </row>
    <row r="22" customFormat="false" ht="63.75" hidden="false" customHeight="true" outlineLevel="0" collapsed="false">
      <c r="A22" s="34" t="s">
        <v>254</v>
      </c>
      <c r="B22" s="35" t="s">
        <v>88</v>
      </c>
      <c r="C22" s="29" t="s">
        <v>95</v>
      </c>
      <c r="D22" s="6" t="s">
        <v>255</v>
      </c>
      <c r="E22" s="6" t="s">
        <v>256</v>
      </c>
      <c r="F22" s="6" t="s">
        <v>257</v>
      </c>
      <c r="G22" s="6"/>
      <c r="H22" s="6" t="s">
        <v>258</v>
      </c>
      <c r="I22" s="6" t="s">
        <v>259</v>
      </c>
      <c r="J22" s="30" t="s">
        <v>68</v>
      </c>
      <c r="K22" s="6" t="s">
        <v>260</v>
      </c>
      <c r="L22" s="31" t="s">
        <v>123</v>
      </c>
      <c r="M22" s="5" t="str">
        <f aca="false">IF(J22="","",IF(J22="Green","No action",IF(L22="Yes","Resolved",IF(J22="Red","Blocker: do not sign","Condition before go-live"))))</f>
        <v>No action</v>
      </c>
      <c r="N22" s="6" t="s">
        <v>158</v>
      </c>
      <c r="O22" s="6" t="s">
        <v>125</v>
      </c>
    </row>
    <row r="23" customFormat="false" ht="63.75" hidden="false" customHeight="true" outlineLevel="0" collapsed="false">
      <c r="A23" s="34" t="s">
        <v>261</v>
      </c>
      <c r="B23" s="35" t="s">
        <v>88</v>
      </c>
      <c r="C23" s="29" t="s">
        <v>95</v>
      </c>
      <c r="D23" s="6" t="s">
        <v>262</v>
      </c>
      <c r="E23" s="6" t="s">
        <v>263</v>
      </c>
      <c r="F23" s="6" t="s">
        <v>264</v>
      </c>
      <c r="G23" s="6"/>
      <c r="H23" s="6" t="s">
        <v>265</v>
      </c>
      <c r="I23" s="6" t="s">
        <v>266</v>
      </c>
      <c r="J23" s="30" t="s">
        <v>68</v>
      </c>
      <c r="K23" s="6" t="s">
        <v>266</v>
      </c>
      <c r="L23" s="31" t="s">
        <v>123</v>
      </c>
      <c r="M23" s="5" t="str">
        <f aca="false">IF(J23="","",IF(J23="Green","No action",IF(L23="Yes","Resolved",IF(J23="Red","Blocker: do not sign","Condition before go-live"))))</f>
        <v>No action</v>
      </c>
      <c r="N23" s="6" t="s">
        <v>149</v>
      </c>
      <c r="O23" s="6" t="s">
        <v>125</v>
      </c>
    </row>
    <row r="24" customFormat="false" ht="63.75" hidden="false" customHeight="true" outlineLevel="0" collapsed="false">
      <c r="A24" s="34" t="s">
        <v>267</v>
      </c>
      <c r="B24" s="35" t="s">
        <v>88</v>
      </c>
      <c r="C24" s="29" t="s">
        <v>95</v>
      </c>
      <c r="D24" s="6" t="s">
        <v>268</v>
      </c>
      <c r="E24" s="6" t="s">
        <v>269</v>
      </c>
      <c r="F24" s="6" t="s">
        <v>270</v>
      </c>
      <c r="G24" s="6"/>
      <c r="H24" s="6" t="s">
        <v>271</v>
      </c>
      <c r="I24" s="6" t="s">
        <v>266</v>
      </c>
      <c r="J24" s="30" t="s">
        <v>68</v>
      </c>
      <c r="K24" s="6" t="s">
        <v>266</v>
      </c>
      <c r="L24" s="31" t="s">
        <v>123</v>
      </c>
      <c r="M24" s="5" t="str">
        <f aca="false">IF(J24="","",IF(J24="Green","No action",IF(L24="Yes","Resolved",IF(J24="Red","Blocker: do not sign","Condition before go-live"))))</f>
        <v>No action</v>
      </c>
      <c r="N24" s="6" t="s">
        <v>149</v>
      </c>
      <c r="O24" s="6" t="s">
        <v>125</v>
      </c>
    </row>
    <row r="25" customFormat="false" ht="63.75" hidden="false" customHeight="true" outlineLevel="0" collapsed="false">
      <c r="A25" s="34" t="s">
        <v>272</v>
      </c>
      <c r="B25" s="35" t="s">
        <v>88</v>
      </c>
      <c r="C25" s="26" t="s">
        <v>96</v>
      </c>
      <c r="D25" s="6" t="s">
        <v>273</v>
      </c>
      <c r="E25" s="6" t="s">
        <v>274</v>
      </c>
      <c r="F25" s="6" t="s">
        <v>275</v>
      </c>
      <c r="G25" s="6"/>
      <c r="H25" s="6" t="s">
        <v>276</v>
      </c>
      <c r="I25" s="6" t="s">
        <v>277</v>
      </c>
      <c r="J25" s="30" t="s">
        <v>65</v>
      </c>
      <c r="K25" s="6" t="s">
        <v>278</v>
      </c>
      <c r="L25" s="31" t="s">
        <v>123</v>
      </c>
      <c r="M25" s="5" t="str">
        <f aca="false">IF(J25="","",IF(J25="Green","No action",IF(L25="Yes","Resolved",IF(J25="Red","Blocker: do not sign","Condition before go-live"))))</f>
        <v>Resolved</v>
      </c>
      <c r="N25" s="6" t="s">
        <v>158</v>
      </c>
      <c r="O25" s="6" t="s">
        <v>279</v>
      </c>
    </row>
    <row r="26" customFormat="false" ht="87.75" hidden="false" customHeight="true" outlineLevel="0" collapsed="false">
      <c r="A26" s="34" t="s">
        <v>280</v>
      </c>
      <c r="B26" s="35" t="s">
        <v>88</v>
      </c>
      <c r="C26" s="26" t="s">
        <v>96</v>
      </c>
      <c r="D26" s="6" t="s">
        <v>281</v>
      </c>
      <c r="E26" s="6" t="s">
        <v>282</v>
      </c>
      <c r="F26" s="6" t="s">
        <v>283</v>
      </c>
      <c r="G26" s="6"/>
      <c r="H26" s="6" t="s">
        <v>284</v>
      </c>
      <c r="I26" s="6" t="s">
        <v>285</v>
      </c>
      <c r="J26" s="30" t="s">
        <v>68</v>
      </c>
      <c r="K26" s="6" t="s">
        <v>286</v>
      </c>
      <c r="L26" s="31" t="s">
        <v>123</v>
      </c>
      <c r="M26" s="5" t="str">
        <f aca="false">IF(J26="","",IF(J26="Green","No action",IF(L26="Yes","Resolved",IF(J26="Red","Blocker: do not sign","Condition before go-live"))))</f>
        <v>No action</v>
      </c>
      <c r="N26" s="6" t="s">
        <v>149</v>
      </c>
      <c r="O26" s="6" t="s">
        <v>125</v>
      </c>
    </row>
    <row r="27" customFormat="false" ht="66.75" hidden="false" customHeight="true" outlineLevel="0" collapsed="false">
      <c r="A27" s="36" t="s">
        <v>287</v>
      </c>
      <c r="B27" s="37" t="s">
        <v>89</v>
      </c>
      <c r="C27" s="29" t="s">
        <v>95</v>
      </c>
      <c r="D27" s="6" t="s">
        <v>288</v>
      </c>
      <c r="E27" s="6" t="s">
        <v>289</v>
      </c>
      <c r="F27" s="6" t="s">
        <v>290</v>
      </c>
      <c r="G27" s="6"/>
      <c r="H27" s="6" t="s">
        <v>291</v>
      </c>
      <c r="I27" s="6" t="s">
        <v>292</v>
      </c>
      <c r="J27" s="30" t="s">
        <v>68</v>
      </c>
      <c r="K27" s="6" t="s">
        <v>293</v>
      </c>
      <c r="L27" s="31" t="s">
        <v>123</v>
      </c>
      <c r="M27" s="5" t="str">
        <f aca="false">IF(J27="","",IF(J27="Green","No action",IF(L27="Yes","Resolved",IF(J27="Red","Blocker: do not sign","Condition before go-live"))))</f>
        <v>No action</v>
      </c>
      <c r="N27" s="6" t="s">
        <v>158</v>
      </c>
      <c r="O27" s="6" t="s">
        <v>125</v>
      </c>
    </row>
    <row r="28" customFormat="false" ht="63.75" hidden="false" customHeight="true" outlineLevel="0" collapsed="false">
      <c r="A28" s="36" t="s">
        <v>294</v>
      </c>
      <c r="B28" s="37" t="s">
        <v>89</v>
      </c>
      <c r="C28" s="29" t="s">
        <v>95</v>
      </c>
      <c r="D28" s="6" t="s">
        <v>295</v>
      </c>
      <c r="E28" s="6" t="s">
        <v>296</v>
      </c>
      <c r="F28" s="6" t="s">
        <v>297</v>
      </c>
      <c r="G28" s="6"/>
      <c r="H28" s="6" t="s">
        <v>298</v>
      </c>
      <c r="I28" s="6" t="s">
        <v>299</v>
      </c>
      <c r="J28" s="30" t="s">
        <v>68</v>
      </c>
      <c r="K28" s="6" t="s">
        <v>300</v>
      </c>
      <c r="L28" s="31" t="s">
        <v>123</v>
      </c>
      <c r="M28" s="5" t="str">
        <f aca="false">IF(J28="","",IF(J28="Green","No action",IF(L28="Yes","Resolved",IF(J28="Red","Blocker: do not sign","Condition before go-live"))))</f>
        <v>No action</v>
      </c>
      <c r="N28" s="6" t="s">
        <v>158</v>
      </c>
      <c r="O28" s="6" t="s">
        <v>125</v>
      </c>
    </row>
    <row r="29" customFormat="false" ht="63.75" hidden="false" customHeight="true" outlineLevel="0" collapsed="false">
      <c r="A29" s="36" t="s">
        <v>301</v>
      </c>
      <c r="B29" s="37" t="s">
        <v>89</v>
      </c>
      <c r="C29" s="29" t="s">
        <v>95</v>
      </c>
      <c r="D29" s="6" t="s">
        <v>302</v>
      </c>
      <c r="E29" s="6" t="s">
        <v>303</v>
      </c>
      <c r="F29" s="6" t="s">
        <v>304</v>
      </c>
      <c r="G29" s="6"/>
      <c r="H29" s="6" t="s">
        <v>305</v>
      </c>
      <c r="I29" s="6" t="s">
        <v>299</v>
      </c>
      <c r="J29" s="30" t="s">
        <v>68</v>
      </c>
      <c r="K29" s="6" t="s">
        <v>306</v>
      </c>
      <c r="L29" s="31" t="s">
        <v>123</v>
      </c>
      <c r="M29" s="5" t="str">
        <f aca="false">IF(J29="","",IF(J29="Green","No action",IF(L29="Yes","Resolved",IF(J29="Red","Blocker: do not sign","Condition before go-live"))))</f>
        <v>No action</v>
      </c>
      <c r="N29" s="6" t="s">
        <v>133</v>
      </c>
      <c r="O29" s="6" t="s">
        <v>125</v>
      </c>
    </row>
    <row r="30" customFormat="false" ht="63.75" hidden="false" customHeight="true" outlineLevel="0" collapsed="false">
      <c r="A30" s="36" t="s">
        <v>307</v>
      </c>
      <c r="B30" s="37" t="s">
        <v>89</v>
      </c>
      <c r="C30" s="26" t="s">
        <v>96</v>
      </c>
      <c r="D30" s="6" t="s">
        <v>308</v>
      </c>
      <c r="E30" s="6" t="s">
        <v>309</v>
      </c>
      <c r="F30" s="6" t="s">
        <v>310</v>
      </c>
      <c r="G30" s="6"/>
      <c r="H30" s="6" t="s">
        <v>311</v>
      </c>
      <c r="I30" s="6" t="s">
        <v>312</v>
      </c>
      <c r="J30" s="30" t="s">
        <v>65</v>
      </c>
      <c r="K30" s="6" t="s">
        <v>313</v>
      </c>
      <c r="L30" s="31" t="s">
        <v>123</v>
      </c>
      <c r="M30" s="5" t="str">
        <f aca="false">IF(J30="","",IF(J30="Green","No action",IF(L30="Yes","Resolved",IF(J30="Red","Blocker: do not sign","Condition before go-live"))))</f>
        <v>Resolved</v>
      </c>
      <c r="N30" s="6" t="s">
        <v>158</v>
      </c>
      <c r="O30" s="6" t="s">
        <v>314</v>
      </c>
    </row>
    <row r="31" customFormat="false" ht="132" hidden="false" customHeight="true" outlineLevel="0" collapsed="false">
      <c r="A31" s="38" t="s">
        <v>315</v>
      </c>
      <c r="B31" s="39" t="s">
        <v>90</v>
      </c>
      <c r="C31" s="26" t="s">
        <v>96</v>
      </c>
      <c r="D31" s="6" t="s">
        <v>316</v>
      </c>
      <c r="E31" s="6" t="s">
        <v>317</v>
      </c>
      <c r="F31" s="6" t="s">
        <v>318</v>
      </c>
      <c r="G31" s="6"/>
      <c r="H31" s="6" t="s">
        <v>319</v>
      </c>
      <c r="I31" s="6" t="s">
        <v>320</v>
      </c>
      <c r="J31" s="30" t="s">
        <v>65</v>
      </c>
      <c r="K31" s="6" t="s">
        <v>321</v>
      </c>
      <c r="L31" s="31" t="s">
        <v>123</v>
      </c>
      <c r="M31" s="5" t="str">
        <f aca="false">IF(J31="","",IF(J31="Green","No action",IF(L31="Yes","Resolved",IF(J31="Red","Blocker: do not sign","Condition before go-live"))))</f>
        <v>Resolved</v>
      </c>
      <c r="N31" s="6" t="s">
        <v>133</v>
      </c>
      <c r="O31" s="6" t="s">
        <v>322</v>
      </c>
    </row>
    <row r="32" customFormat="false" ht="63.75" hidden="false" customHeight="true" outlineLevel="0" collapsed="false">
      <c r="A32" s="38" t="s">
        <v>323</v>
      </c>
      <c r="B32" s="39" t="s">
        <v>90</v>
      </c>
      <c r="C32" s="26" t="s">
        <v>96</v>
      </c>
      <c r="D32" s="6" t="s">
        <v>324</v>
      </c>
      <c r="E32" s="6" t="s">
        <v>325</v>
      </c>
      <c r="F32" s="6" t="s">
        <v>326</v>
      </c>
      <c r="G32" s="6"/>
      <c r="H32" s="6" t="s">
        <v>327</v>
      </c>
      <c r="I32" s="6" t="s">
        <v>328</v>
      </c>
      <c r="J32" s="30" t="s">
        <v>68</v>
      </c>
      <c r="K32" s="6" t="s">
        <v>329</v>
      </c>
      <c r="L32" s="31" t="s">
        <v>123</v>
      </c>
      <c r="M32" s="5" t="str">
        <f aca="false">IF(J32="","",IF(J32="Green","No action",IF(L32="Yes","Resolved",IF(J32="Red","Blocker: do not sign","Condition before go-live"))))</f>
        <v>No action</v>
      </c>
      <c r="N32" s="6" t="s">
        <v>149</v>
      </c>
      <c r="O32" s="6" t="s">
        <v>125</v>
      </c>
    </row>
    <row r="33" customFormat="false" ht="63.75" hidden="false" customHeight="true" outlineLevel="0" collapsed="false">
      <c r="A33" s="38" t="s">
        <v>330</v>
      </c>
      <c r="B33" s="39" t="s">
        <v>90</v>
      </c>
      <c r="C33" s="29" t="s">
        <v>95</v>
      </c>
      <c r="D33" s="6" t="s">
        <v>331</v>
      </c>
      <c r="E33" s="6" t="s">
        <v>332</v>
      </c>
      <c r="F33" s="6" t="s">
        <v>333</v>
      </c>
      <c r="G33" s="6"/>
      <c r="H33" s="6" t="s">
        <v>334</v>
      </c>
      <c r="I33" s="6" t="s">
        <v>335</v>
      </c>
      <c r="J33" s="30" t="s">
        <v>68</v>
      </c>
      <c r="K33" s="6" t="s">
        <v>336</v>
      </c>
      <c r="L33" s="31" t="s">
        <v>123</v>
      </c>
      <c r="M33" s="5" t="str">
        <f aca="false">IF(J33="","",IF(J33="Green","No action",IF(L33="Yes","Resolved",IF(J33="Red","Blocker: do not sign","Condition before go-live"))))</f>
        <v>No action</v>
      </c>
      <c r="N33" s="6" t="s">
        <v>133</v>
      </c>
      <c r="O33" s="6" t="s">
        <v>125</v>
      </c>
    </row>
    <row r="34" customFormat="false" ht="63.75" hidden="false" customHeight="true" outlineLevel="0" collapsed="false">
      <c r="A34" s="38" t="s">
        <v>337</v>
      </c>
      <c r="B34" s="39" t="s">
        <v>90</v>
      </c>
      <c r="C34" s="29" t="s">
        <v>95</v>
      </c>
      <c r="D34" s="6" t="s">
        <v>338</v>
      </c>
      <c r="E34" s="6" t="s">
        <v>339</v>
      </c>
      <c r="F34" s="6" t="s">
        <v>340</v>
      </c>
      <c r="G34" s="6"/>
      <c r="H34" s="6" t="s">
        <v>341</v>
      </c>
      <c r="I34" s="6" t="s">
        <v>342</v>
      </c>
      <c r="J34" s="30" t="s">
        <v>68</v>
      </c>
      <c r="K34" s="6" t="s">
        <v>343</v>
      </c>
      <c r="L34" s="31" t="s">
        <v>123</v>
      </c>
      <c r="M34" s="5" t="str">
        <f aca="false">IF(J34="","",IF(J34="Green","No action",IF(L34="Yes","Resolved",IF(J34="Red","Blocker: do not sign","Condition before go-live"))))</f>
        <v>No action</v>
      </c>
      <c r="N34" s="6" t="s">
        <v>124</v>
      </c>
      <c r="O34" s="6" t="s">
        <v>125</v>
      </c>
    </row>
    <row r="35" customFormat="false" ht="189" hidden="false" customHeight="true" outlineLevel="0" collapsed="false">
      <c r="A35" s="40" t="s">
        <v>344</v>
      </c>
      <c r="B35" s="41" t="s">
        <v>91</v>
      </c>
      <c r="C35" s="26" t="s">
        <v>96</v>
      </c>
      <c r="D35" s="6" t="s">
        <v>345</v>
      </c>
      <c r="E35" s="6" t="s">
        <v>346</v>
      </c>
      <c r="F35" s="6" t="s">
        <v>347</v>
      </c>
      <c r="G35" s="6"/>
      <c r="H35" s="6" t="s">
        <v>348</v>
      </c>
      <c r="I35" s="6" t="s">
        <v>349</v>
      </c>
      <c r="J35" s="30" t="s">
        <v>68</v>
      </c>
      <c r="K35" s="6" t="s">
        <v>350</v>
      </c>
      <c r="L35" s="31" t="s">
        <v>123</v>
      </c>
      <c r="M35" s="5" t="str">
        <f aca="false">IF(J35="","",IF(J35="Green","No action",IF(L35="Yes","Resolved",IF(J35="Red","Blocker: do not sign","Condition before go-live"))))</f>
        <v>No action</v>
      </c>
      <c r="N35" s="6" t="s">
        <v>351</v>
      </c>
      <c r="O35" s="6" t="s">
        <v>352</v>
      </c>
    </row>
    <row r="36" customFormat="false" ht="63.75" hidden="false" customHeight="true" outlineLevel="0" collapsed="false">
      <c r="A36" s="40" t="s">
        <v>353</v>
      </c>
      <c r="B36" s="41" t="s">
        <v>91</v>
      </c>
      <c r="C36" s="26" t="s">
        <v>96</v>
      </c>
      <c r="D36" s="6" t="s">
        <v>354</v>
      </c>
      <c r="E36" s="6" t="s">
        <v>355</v>
      </c>
      <c r="F36" s="6" t="s">
        <v>356</v>
      </c>
      <c r="G36" s="6"/>
      <c r="H36" s="6" t="s">
        <v>357</v>
      </c>
      <c r="I36" s="6" t="s">
        <v>358</v>
      </c>
      <c r="J36" s="30" t="s">
        <v>67</v>
      </c>
      <c r="K36" s="6" t="s">
        <v>359</v>
      </c>
      <c r="L36" s="31" t="s">
        <v>360</v>
      </c>
      <c r="M36" s="5" t="str">
        <f aca="false">IF(J36="","",IF(J36="Green","No action",IF(L36="Yes","Resolved",IF(J36="Red","Blocker: do not sign","Condition before go-live"))))</f>
        <v>Condition before go-live</v>
      </c>
      <c r="N36" s="6" t="s">
        <v>238</v>
      </c>
      <c r="O36" s="6" t="s">
        <v>361</v>
      </c>
    </row>
    <row r="37" customFormat="false" ht="63.75" hidden="false" customHeight="true" outlineLevel="0" collapsed="false">
      <c r="A37" s="40" t="s">
        <v>362</v>
      </c>
      <c r="B37" s="41" t="s">
        <v>91</v>
      </c>
      <c r="C37" s="29" t="s">
        <v>95</v>
      </c>
      <c r="D37" s="6" t="s">
        <v>363</v>
      </c>
      <c r="E37" s="6" t="s">
        <v>364</v>
      </c>
      <c r="F37" s="6" t="s">
        <v>365</v>
      </c>
      <c r="G37" s="6"/>
      <c r="H37" s="6" t="s">
        <v>366</v>
      </c>
      <c r="I37" s="6" t="s">
        <v>367</v>
      </c>
      <c r="J37" s="30" t="s">
        <v>68</v>
      </c>
      <c r="K37" s="6" t="s">
        <v>368</v>
      </c>
      <c r="L37" s="31" t="s">
        <v>123</v>
      </c>
      <c r="M37" s="5" t="str">
        <f aca="false">IF(J37="","",IF(J37="Green","No action",IF(L37="Yes","Resolved",IF(J37="Red","Blocker: do not sign","Condition before go-live"))))</f>
        <v>No action</v>
      </c>
      <c r="N37" s="6" t="s">
        <v>158</v>
      </c>
      <c r="O37" s="6" t="s">
        <v>125</v>
      </c>
    </row>
  </sheetData>
  <conditionalFormatting sqref="J4:J37">
    <cfRule type="cellIs" priority="2" operator="equal" aboveAverage="0" equalAverage="0" bottom="0" percent="0" rank="0" text="" dxfId="4">
      <formula>"Red"</formula>
    </cfRule>
    <cfRule type="cellIs" priority="3" operator="equal" aboveAverage="0" equalAverage="0" bottom="0" percent="0" rank="0" text="" dxfId="5">
      <formula>"Amber"</formula>
    </cfRule>
    <cfRule type="cellIs" priority="4" operator="equal" aboveAverage="0" equalAverage="0" bottom="0" percent="0" rank="0" text="" dxfId="6">
      <formula>"Green"</formula>
    </cfRule>
  </conditionalFormatting>
  <conditionalFormatting sqref="M4:M37">
    <cfRule type="expression" priority="5" aboveAverage="0" equalAverage="0" bottom="0" percent="0" rank="0" text="" dxfId="0">
      <formula>LEFT(M4,7)="Blocker"</formula>
    </cfRule>
    <cfRule type="expression" priority="6" aboveAverage="0" equalAverage="0" bottom="0" percent="0" rank="0" text="" dxfId="1">
      <formula>LEFT(M4,9)="Condition"</formula>
    </cfRule>
    <cfRule type="expression" priority="7" aboveAverage="0" equalAverage="0" bottom="0" percent="0" rank="0" text="" dxfId="2">
      <formula>OR(M4="No action",M4="Resolved")</formula>
    </cfRule>
  </conditionalFormatting>
  <dataValidations count="2">
    <dataValidation allowBlank="true" errorStyle="stop" operator="between" showDropDown="false" showErrorMessage="false" showInputMessage="false" sqref="J4:J37" type="list">
      <formula1>"Green,Amber,Red"</formula1>
      <formula2>0</formula2>
    </dataValidation>
    <dataValidation allowBlank="true" errorStyle="stop" operator="between" showDropDown="false" showErrorMessage="false" showInputMessage="false" sqref="L4:L3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6" min="3" style="0" width="12"/>
  </cols>
  <sheetData>
    <row r="2" customFormat="false" ht="19.7" hidden="false" customHeight="false" outlineLevel="0" collapsed="false">
      <c r="B2" s="1" t="s">
        <v>369</v>
      </c>
    </row>
    <row r="3" customFormat="false" ht="15" hidden="false" customHeight="false" outlineLevel="0" collapsed="false">
      <c r="B3" s="2" t="s">
        <v>370</v>
      </c>
    </row>
    <row r="5" customFormat="false" ht="15" hidden="false" customHeight="false" outlineLevel="0" collapsed="false">
      <c r="B5" s="3" t="s">
        <v>83</v>
      </c>
    </row>
    <row r="6" customFormat="false" ht="15" hidden="false" customHeight="false" outlineLevel="0" collapsed="false">
      <c r="B6" s="13" t="s">
        <v>84</v>
      </c>
      <c r="C6" s="14" t="s">
        <v>65</v>
      </c>
      <c r="D6" s="15" t="s">
        <v>67</v>
      </c>
      <c r="E6" s="16" t="s">
        <v>68</v>
      </c>
      <c r="F6" s="13" t="s">
        <v>85</v>
      </c>
    </row>
    <row r="7" customFormat="false" ht="15" hidden="false" customHeight="false" outlineLevel="0" collapsed="false">
      <c r="B7" s="17" t="s">
        <v>86</v>
      </c>
      <c r="C7" s="18" t="n">
        <f aca="false">COUNTIFS('Questionnaire Template'!$B$4:$B$200,$B7,'Questionnaire Template'!$J$4:$J$200,"Red")</f>
        <v>0</v>
      </c>
      <c r="D7" s="18" t="n">
        <f aca="false">COUNTIFS('Questionnaire Template'!$B$4:$B$200,$B7,'Questionnaire Template'!$J$4:$J$200,"Amber")</f>
        <v>0</v>
      </c>
      <c r="E7" s="18" t="n">
        <f aca="false">COUNTIFS('Questionnaire Template'!$B$4:$B$200,$B7,'Questionnaire Template'!$J$4:$J$200,"Green")</f>
        <v>0</v>
      </c>
      <c r="F7" s="19" t="n">
        <f aca="false">SUM(C7:E7)</f>
        <v>0</v>
      </c>
    </row>
    <row r="8" customFormat="false" ht="15" hidden="false" customHeight="false" outlineLevel="0" collapsed="false">
      <c r="B8" s="20" t="s">
        <v>87</v>
      </c>
      <c r="C8" s="18" t="n">
        <f aca="false">COUNTIFS('Questionnaire Template'!$B$4:$B$200,$B8,'Questionnaire Template'!$J$4:$J$200,"Red")</f>
        <v>0</v>
      </c>
      <c r="D8" s="18" t="n">
        <f aca="false">COUNTIFS('Questionnaire Template'!$B$4:$B$200,$B8,'Questionnaire Template'!$J$4:$J$200,"Amber")</f>
        <v>0</v>
      </c>
      <c r="E8" s="18" t="n">
        <f aca="false">COUNTIFS('Questionnaire Template'!$B$4:$B$200,$B8,'Questionnaire Template'!$J$4:$J$200,"Green")</f>
        <v>0</v>
      </c>
      <c r="F8" s="19" t="n">
        <f aca="false">SUM(C8:E8)</f>
        <v>0</v>
      </c>
    </row>
    <row r="9" customFormat="false" ht="15" hidden="false" customHeight="false" outlineLevel="0" collapsed="false">
      <c r="B9" s="21" t="s">
        <v>88</v>
      </c>
      <c r="C9" s="18" t="n">
        <f aca="false">COUNTIFS('Questionnaire Template'!$B$4:$B$200,$B9,'Questionnaire Template'!$J$4:$J$200,"Red")</f>
        <v>0</v>
      </c>
      <c r="D9" s="18" t="n">
        <f aca="false">COUNTIFS('Questionnaire Template'!$B$4:$B$200,$B9,'Questionnaire Template'!$J$4:$J$200,"Amber")</f>
        <v>0</v>
      </c>
      <c r="E9" s="18" t="n">
        <f aca="false">COUNTIFS('Questionnaire Template'!$B$4:$B$200,$B9,'Questionnaire Template'!$J$4:$J$200,"Green")</f>
        <v>0</v>
      </c>
      <c r="F9" s="19" t="n">
        <f aca="false">SUM(C9:E9)</f>
        <v>0</v>
      </c>
    </row>
    <row r="10" customFormat="false" ht="15" hidden="false" customHeight="false" outlineLevel="0" collapsed="false">
      <c r="B10" s="22" t="s">
        <v>89</v>
      </c>
      <c r="C10" s="18" t="n">
        <f aca="false">COUNTIFS('Questionnaire Template'!$B$4:$B$200,$B10,'Questionnaire Template'!$J$4:$J$200,"Red")</f>
        <v>0</v>
      </c>
      <c r="D10" s="18" t="n">
        <f aca="false">COUNTIFS('Questionnaire Template'!$B$4:$B$200,$B10,'Questionnaire Template'!$J$4:$J$200,"Amber")</f>
        <v>0</v>
      </c>
      <c r="E10" s="18" t="n">
        <f aca="false">COUNTIFS('Questionnaire Template'!$B$4:$B$200,$B10,'Questionnaire Template'!$J$4:$J$200,"Green")</f>
        <v>0</v>
      </c>
      <c r="F10" s="19" t="n">
        <f aca="false">SUM(C10:E10)</f>
        <v>0</v>
      </c>
    </row>
    <row r="11" customFormat="false" ht="15" hidden="false" customHeight="false" outlineLevel="0" collapsed="false">
      <c r="B11" s="23" t="s">
        <v>90</v>
      </c>
      <c r="C11" s="18" t="n">
        <f aca="false">COUNTIFS('Questionnaire Template'!$B$4:$B$200,$B11,'Questionnaire Template'!$J$4:$J$200,"Red")</f>
        <v>0</v>
      </c>
      <c r="D11" s="18" t="n">
        <f aca="false">COUNTIFS('Questionnaire Template'!$B$4:$B$200,$B11,'Questionnaire Template'!$J$4:$J$200,"Amber")</f>
        <v>0</v>
      </c>
      <c r="E11" s="18" t="n">
        <f aca="false">COUNTIFS('Questionnaire Template'!$B$4:$B$200,$B11,'Questionnaire Template'!$J$4:$J$200,"Green")</f>
        <v>0</v>
      </c>
      <c r="F11" s="19" t="n">
        <f aca="false">SUM(C11:E11)</f>
        <v>0</v>
      </c>
    </row>
    <row r="12" customFormat="false" ht="15" hidden="false" customHeight="false" outlineLevel="0" collapsed="false">
      <c r="B12" s="24" t="s">
        <v>91</v>
      </c>
      <c r="C12" s="18" t="n">
        <f aca="false">COUNTIFS('Questionnaire Template'!$B$4:$B$200,$B12,'Questionnaire Template'!$J$4:$J$200,"Red")</f>
        <v>0</v>
      </c>
      <c r="D12" s="18" t="n">
        <f aca="false">COUNTIFS('Questionnaire Template'!$B$4:$B$200,$B12,'Questionnaire Template'!$J$4:$J$200,"Amber")</f>
        <v>0</v>
      </c>
      <c r="E12" s="18" t="n">
        <f aca="false">COUNTIFS('Questionnaire Template'!$B$4:$B$200,$B12,'Questionnaire Template'!$J$4:$J$200,"Green")</f>
        <v>0</v>
      </c>
      <c r="F12" s="19" t="n">
        <f aca="false">SUM(C12:E12)</f>
        <v>0</v>
      </c>
    </row>
    <row r="13" customFormat="false" ht="15" hidden="false" customHeight="false" outlineLevel="0" collapsed="false">
      <c r="B13" s="5" t="s">
        <v>85</v>
      </c>
      <c r="C13" s="19" t="n">
        <f aca="false">SUM(C7:C12)</f>
        <v>0</v>
      </c>
      <c r="D13" s="19" t="n">
        <f aca="false">SUM(D7:D12)</f>
        <v>0</v>
      </c>
      <c r="E13" s="19" t="n">
        <f aca="false">SUM(E7:E12)</f>
        <v>0</v>
      </c>
      <c r="F13" s="19" t="n">
        <f aca="false">SUM(F7:F12)</f>
        <v>0</v>
      </c>
    </row>
    <row r="15" customFormat="false" ht="15" hidden="false" customHeight="false" outlineLevel="0" collapsed="false">
      <c r="B15" s="3" t="s">
        <v>92</v>
      </c>
    </row>
    <row r="16" customFormat="false" ht="15" hidden="false" customHeight="false" outlineLevel="0" collapsed="false">
      <c r="B16" s="13" t="s">
        <v>93</v>
      </c>
      <c r="C16" s="14" t="s">
        <v>65</v>
      </c>
      <c r="D16" s="15" t="s">
        <v>67</v>
      </c>
      <c r="E16" s="16" t="s">
        <v>68</v>
      </c>
      <c r="F16" s="13" t="s">
        <v>94</v>
      </c>
    </row>
    <row r="17" customFormat="false" ht="15" hidden="false" customHeight="false" outlineLevel="0" collapsed="false">
      <c r="B17" s="25" t="s">
        <v>95</v>
      </c>
      <c r="C17" s="18" t="n">
        <f aca="false">COUNTIFS('Questionnaire Template'!$C$4:$C$200,$B17,'Questionnaire Template'!$J$4:$J$200,"Red")</f>
        <v>0</v>
      </c>
      <c r="D17" s="18" t="n">
        <f aca="false">COUNTIFS('Questionnaire Template'!$C$4:$C$200,$B17,'Questionnaire Template'!$J$4:$J$200,"Amber")</f>
        <v>0</v>
      </c>
      <c r="E17" s="18" t="n">
        <f aca="false">COUNTIFS('Questionnaire Template'!$C$4:$C$200,$B17,'Questionnaire Template'!$J$4:$J$200,"Green")</f>
        <v>0</v>
      </c>
      <c r="F17" s="19" t="n">
        <f aca="false">COUNTIF('Questionnaire Template'!$C$4:$C$200,$B17)</f>
        <v>19</v>
      </c>
    </row>
    <row r="18" customFormat="false" ht="15" hidden="false" customHeight="false" outlineLevel="0" collapsed="false">
      <c r="B18" s="26" t="s">
        <v>96</v>
      </c>
      <c r="C18" s="18" t="n">
        <f aca="false">COUNTIFS('Questionnaire Template'!$C$4:$C$200,$B18,'Questionnaire Template'!$J$4:$J$200,"Red")</f>
        <v>0</v>
      </c>
      <c r="D18" s="18" t="n">
        <f aca="false">COUNTIFS('Questionnaire Template'!$C$4:$C$200,$B18,'Questionnaire Template'!$J$4:$J$200,"Amber")</f>
        <v>0</v>
      </c>
      <c r="E18" s="18" t="n">
        <f aca="false">COUNTIFS('Questionnaire Template'!$C$4:$C$200,$B18,'Questionnaire Template'!$J$4:$J$200,"Green")</f>
        <v>0</v>
      </c>
      <c r="F18" s="19" t="n">
        <f aca="false">COUNTIF('Questionnaire Template'!$C$4:$C$200,$B18)</f>
        <v>15</v>
      </c>
    </row>
    <row r="20" customFormat="false" ht="15" hidden="false" customHeight="false" outlineLevel="0" collapsed="false">
      <c r="B20" s="3" t="s">
        <v>97</v>
      </c>
    </row>
    <row r="21" customFormat="false" ht="15" hidden="false" customHeight="false" outlineLevel="0" collapsed="false">
      <c r="B21" s="5" t="s">
        <v>98</v>
      </c>
      <c r="C21" s="18" t="n">
        <f aca="false">COUNTIF('Questionnaire Template'!$M$4:$M$200,"Blocker*")</f>
        <v>0</v>
      </c>
    </row>
    <row r="22" customFormat="false" ht="23.85" hidden="false" customHeight="false" outlineLevel="0" collapsed="false">
      <c r="B22" s="5" t="s">
        <v>99</v>
      </c>
      <c r="C22" s="18" t="n">
        <f aca="false">COUNTIF('Questionnaire Template'!$M$4:$M$200,"Condition*")</f>
        <v>0</v>
      </c>
    </row>
    <row r="23" customFormat="false" ht="15" hidden="false" customHeight="false" outlineLevel="0" collapsed="false">
      <c r="B23" s="5" t="s">
        <v>100</v>
      </c>
      <c r="C23" s="18" t="n">
        <f aca="false">COUNTIF('Questionnaire Template'!$M$4:$M$200,"Resolved")</f>
        <v>0</v>
      </c>
    </row>
    <row r="24" customFormat="false" ht="15" hidden="false" customHeight="false" outlineLevel="0" collapsed="false">
      <c r="B24" s="5" t="s">
        <v>101</v>
      </c>
      <c r="C24" s="18" t="n">
        <f aca="false">COUNTIF('Questionnaire Template'!$M$4:$M$200,"No action")</f>
        <v>0</v>
      </c>
    </row>
    <row r="26" customFormat="false" ht="24" hidden="false" customHeight="true" outlineLevel="0" collapsed="false">
      <c r="B26" s="5" t="s">
        <v>102</v>
      </c>
      <c r="C26" s="5" t="str">
        <f aca="false">IF(F13=0,"",IF(C21&gt;0,"Do not sign yet",IF(F13&lt;F17+F18,"Incomplete: "&amp;(F17+F18-F13)&amp;" not rated",IF(C22&gt;0,"Sign: conditions before go-live","Sign"))))</f>
        <v/>
      </c>
      <c r="D26" s="5"/>
      <c r="E26" s="5"/>
      <c r="F26" s="5"/>
    </row>
  </sheetData>
  <mergeCells count="1">
    <mergeCell ref="C26:F26"/>
  </mergeCells>
  <conditionalFormatting sqref="C26">
    <cfRule type="expression" priority="2" aboveAverage="0" equalAverage="0" bottom="0" percent="0" rank="0" text="" dxfId="0">
      <formula>LEFT(C26,6)="Do not"</formula>
    </cfRule>
    <cfRule type="expression" priority="3" aboveAverage="0" equalAverage="0" bottom="0" percent="0" rank="0" text="" dxfId="1">
      <formula>C26="Sign: conditions before go-live"</formula>
    </cfRule>
    <cfRule type="expression" priority="4" aboveAverage="0" equalAverage="0" bottom="0" percent="0" rank="0" text="" dxfId="2">
      <formula>C26="Sign"</formula>
    </cfRule>
    <cfRule type="expression" priority="5" aboveAverage="0" equalAverage="0" bottom="0" percent="0" rank="0" text="" dxfId="3">
      <formula>LEFT(C26,10)="Incomplete"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5"/>
    <col collapsed="false" customWidth="true" hidden="false" outlineLevel="0" max="3" min="3" style="0" width="14"/>
    <col collapsed="false" customWidth="true" hidden="false" outlineLevel="0" max="4" min="4" style="0" width="44"/>
    <col collapsed="false" customWidth="true" hidden="false" outlineLevel="0" max="6" min="5" style="0" width="46"/>
    <col collapsed="false" customWidth="true" hidden="false" outlineLevel="0" max="7" min="7" style="0" width="30"/>
    <col collapsed="false" customWidth="true" hidden="false" outlineLevel="0" max="8" min="8" style="0" width="48"/>
    <col collapsed="false" customWidth="true" hidden="false" outlineLevel="0" max="9" min="9" style="0" width="24"/>
    <col collapsed="false" customWidth="true" hidden="false" outlineLevel="0" max="10" min="10" style="0" width="10"/>
    <col collapsed="false" customWidth="true" hidden="false" outlineLevel="0" max="11" min="11" style="0" width="34"/>
    <col collapsed="false" customWidth="true" hidden="false" outlineLevel="0" max="12" min="12" style="0" width="14"/>
    <col collapsed="false" customWidth="true" hidden="false" outlineLevel="0" max="13" min="13" style="0" width="26"/>
    <col collapsed="false" customWidth="true" hidden="false" outlineLevel="0" max="14" min="14" style="0" width="24"/>
    <col collapsed="false" customWidth="true" hidden="false" outlineLevel="0" max="15" min="15" style="0" width="34"/>
  </cols>
  <sheetData>
    <row r="1" customFormat="false" ht="19.7" hidden="false" customHeight="false" outlineLevel="0" collapsed="false">
      <c r="A1" s="1" t="s">
        <v>371</v>
      </c>
    </row>
    <row r="2" customFormat="false" ht="15" hidden="false" customHeight="false" outlineLevel="0" collapsed="false">
      <c r="A2" s="2" t="s">
        <v>372</v>
      </c>
    </row>
    <row r="3" customFormat="false" ht="39.75" hidden="false" customHeight="true" outlineLevel="0" collapsed="false">
      <c r="A3" s="13" t="s">
        <v>105</v>
      </c>
      <c r="B3" s="13" t="s">
        <v>84</v>
      </c>
      <c r="C3" s="13" t="s">
        <v>93</v>
      </c>
      <c r="D3" s="13" t="s">
        <v>106</v>
      </c>
      <c r="E3" s="13" t="s">
        <v>107</v>
      </c>
      <c r="F3" s="13" t="s">
        <v>108</v>
      </c>
      <c r="G3" s="13" t="s">
        <v>109</v>
      </c>
      <c r="H3" s="13" t="s">
        <v>110</v>
      </c>
      <c r="I3" s="13" t="s">
        <v>111</v>
      </c>
      <c r="J3" s="13" t="s">
        <v>66</v>
      </c>
      <c r="K3" s="13" t="s">
        <v>112</v>
      </c>
      <c r="L3" s="13" t="s">
        <v>113</v>
      </c>
      <c r="M3" s="13" t="s">
        <v>97</v>
      </c>
      <c r="N3" s="13" t="s">
        <v>114</v>
      </c>
      <c r="O3" s="13" t="s">
        <v>115</v>
      </c>
    </row>
    <row r="4" customFormat="false" ht="82.5" hidden="false" customHeight="true" outlineLevel="0" collapsed="false">
      <c r="A4" s="27" t="s">
        <v>116</v>
      </c>
      <c r="B4" s="28" t="s">
        <v>86</v>
      </c>
      <c r="C4" s="29" t="s">
        <v>95</v>
      </c>
      <c r="D4" s="6" t="s">
        <v>117</v>
      </c>
      <c r="E4" s="6" t="s">
        <v>118</v>
      </c>
      <c r="F4" s="6" t="s">
        <v>119</v>
      </c>
      <c r="G4" s="42"/>
      <c r="H4" s="42"/>
      <c r="I4" s="42"/>
      <c r="J4" s="43"/>
      <c r="K4" s="6" t="s">
        <v>122</v>
      </c>
      <c r="L4" s="43"/>
      <c r="M4" s="5" t="str">
        <f aca="false">IF(J4="","",IF(J4="Green","No action",IF(L4="Yes","Resolved",IF(J4="Red","Blocker: do not sign","Condition before go-live"))))</f>
        <v/>
      </c>
      <c r="N4" s="42"/>
      <c r="O4" s="42"/>
    </row>
    <row r="5" customFormat="false" ht="66" hidden="false" customHeight="true" outlineLevel="0" collapsed="false">
      <c r="A5" s="27" t="s">
        <v>126</v>
      </c>
      <c r="B5" s="28" t="s">
        <v>86</v>
      </c>
      <c r="C5" s="29" t="s">
        <v>95</v>
      </c>
      <c r="D5" s="6" t="s">
        <v>127</v>
      </c>
      <c r="E5" s="6" t="s">
        <v>128</v>
      </c>
      <c r="F5" s="6" t="s">
        <v>129</v>
      </c>
      <c r="G5" s="42"/>
      <c r="H5" s="42"/>
      <c r="I5" s="42"/>
      <c r="J5" s="43"/>
      <c r="K5" s="6" t="s">
        <v>132</v>
      </c>
      <c r="L5" s="43"/>
      <c r="M5" s="5" t="str">
        <f aca="false">IF(J5="","",IF(J5="Green","No action",IF(L5="Yes","Resolved",IF(J5="Red","Blocker: do not sign","Condition before go-live"))))</f>
        <v/>
      </c>
      <c r="N5" s="42"/>
      <c r="O5" s="42"/>
    </row>
    <row r="6" customFormat="false" ht="63.75" hidden="false" customHeight="true" outlineLevel="0" collapsed="false">
      <c r="A6" s="27" t="s">
        <v>135</v>
      </c>
      <c r="B6" s="28" t="s">
        <v>86</v>
      </c>
      <c r="C6" s="29" t="s">
        <v>95</v>
      </c>
      <c r="D6" s="6" t="s">
        <v>136</v>
      </c>
      <c r="E6" s="6" t="s">
        <v>137</v>
      </c>
      <c r="F6" s="6" t="s">
        <v>138</v>
      </c>
      <c r="G6" s="42"/>
      <c r="H6" s="42"/>
      <c r="I6" s="42"/>
      <c r="J6" s="43"/>
      <c r="K6" s="6" t="s">
        <v>141</v>
      </c>
      <c r="L6" s="43"/>
      <c r="M6" s="5" t="str">
        <f aca="false">IF(J6="","",IF(J6="Green","No action",IF(L6="Yes","Resolved",IF(J6="Red","Blocker: do not sign","Condition before go-live"))))</f>
        <v/>
      </c>
      <c r="N6" s="42"/>
      <c r="O6" s="42"/>
    </row>
    <row r="7" customFormat="false" ht="63.75" hidden="false" customHeight="true" outlineLevel="0" collapsed="false">
      <c r="A7" s="27" t="s">
        <v>142</v>
      </c>
      <c r="B7" s="28" t="s">
        <v>86</v>
      </c>
      <c r="C7" s="29" t="s">
        <v>95</v>
      </c>
      <c r="D7" s="6" t="s">
        <v>143</v>
      </c>
      <c r="E7" s="6" t="s">
        <v>144</v>
      </c>
      <c r="F7" s="6" t="s">
        <v>145</v>
      </c>
      <c r="G7" s="42"/>
      <c r="H7" s="42"/>
      <c r="I7" s="42"/>
      <c r="J7" s="43"/>
      <c r="K7" s="6" t="s">
        <v>148</v>
      </c>
      <c r="L7" s="43"/>
      <c r="M7" s="5" t="str">
        <f aca="false">IF(J7="","",IF(J7="Green","No action",IF(L7="Yes","Resolved",IF(J7="Red","Blocker: do not sign","Condition before go-live"))))</f>
        <v/>
      </c>
      <c r="N7" s="42"/>
      <c r="O7" s="42"/>
    </row>
    <row r="8" customFormat="false" ht="84.75" hidden="false" customHeight="true" outlineLevel="0" collapsed="false">
      <c r="A8" s="27" t="s">
        <v>151</v>
      </c>
      <c r="B8" s="28" t="s">
        <v>86</v>
      </c>
      <c r="C8" s="29" t="s">
        <v>95</v>
      </c>
      <c r="D8" s="6" t="s">
        <v>152</v>
      </c>
      <c r="E8" s="6" t="s">
        <v>153</v>
      </c>
      <c r="F8" s="6" t="s">
        <v>154</v>
      </c>
      <c r="G8" s="42"/>
      <c r="H8" s="42"/>
      <c r="I8" s="42"/>
      <c r="J8" s="43"/>
      <c r="K8" s="6" t="s">
        <v>157</v>
      </c>
      <c r="L8" s="43"/>
      <c r="M8" s="5" t="str">
        <f aca="false">IF(J8="","",IF(J8="Green","No action",IF(L8="Yes","Resolved",IF(J8="Red","Blocker: do not sign","Condition before go-live"))))</f>
        <v/>
      </c>
      <c r="N8" s="42"/>
      <c r="O8" s="42"/>
    </row>
    <row r="9" customFormat="false" ht="63.75" hidden="false" customHeight="true" outlineLevel="0" collapsed="false">
      <c r="A9" s="27" t="s">
        <v>159</v>
      </c>
      <c r="B9" s="28" t="s">
        <v>86</v>
      </c>
      <c r="C9" s="29" t="s">
        <v>95</v>
      </c>
      <c r="D9" s="6" t="s">
        <v>160</v>
      </c>
      <c r="E9" s="6" t="s">
        <v>161</v>
      </c>
      <c r="F9" s="6" t="s">
        <v>162</v>
      </c>
      <c r="G9" s="42"/>
      <c r="H9" s="42"/>
      <c r="I9" s="42"/>
      <c r="J9" s="43"/>
      <c r="K9" s="6" t="s">
        <v>165</v>
      </c>
      <c r="L9" s="43"/>
      <c r="M9" s="5" t="str">
        <f aca="false">IF(J9="","",IF(J9="Green","No action",IF(L9="Yes","Resolved",IF(J9="Red","Blocker: do not sign","Condition before go-live"))))</f>
        <v/>
      </c>
      <c r="N9" s="42"/>
      <c r="O9" s="42"/>
    </row>
    <row r="10" customFormat="false" ht="63.75" hidden="false" customHeight="true" outlineLevel="0" collapsed="false">
      <c r="A10" s="27" t="s">
        <v>166</v>
      </c>
      <c r="B10" s="28" t="s">
        <v>86</v>
      </c>
      <c r="C10" s="29" t="s">
        <v>95</v>
      </c>
      <c r="D10" s="6" t="s">
        <v>167</v>
      </c>
      <c r="E10" s="6" t="s">
        <v>168</v>
      </c>
      <c r="F10" s="6" t="s">
        <v>169</v>
      </c>
      <c r="G10" s="42"/>
      <c r="H10" s="42"/>
      <c r="I10" s="42"/>
      <c r="J10" s="43"/>
      <c r="K10" s="6" t="s">
        <v>172</v>
      </c>
      <c r="L10" s="43"/>
      <c r="M10" s="5" t="str">
        <f aca="false">IF(J10="","",IF(J10="Green","No action",IF(L10="Yes","Resolved",IF(J10="Red","Blocker: do not sign","Condition before go-live"))))</f>
        <v/>
      </c>
      <c r="N10" s="42"/>
      <c r="O10" s="42"/>
    </row>
    <row r="11" customFormat="false" ht="63.75" hidden="false" customHeight="true" outlineLevel="0" collapsed="false">
      <c r="A11" s="27" t="s">
        <v>174</v>
      </c>
      <c r="B11" s="28" t="s">
        <v>86</v>
      </c>
      <c r="C11" s="29" t="s">
        <v>95</v>
      </c>
      <c r="D11" s="6" t="s">
        <v>175</v>
      </c>
      <c r="E11" s="6" t="s">
        <v>176</v>
      </c>
      <c r="F11" s="6" t="s">
        <v>177</v>
      </c>
      <c r="G11" s="42"/>
      <c r="H11" s="42"/>
      <c r="I11" s="42"/>
      <c r="J11" s="43"/>
      <c r="K11" s="6" t="s">
        <v>180</v>
      </c>
      <c r="L11" s="43"/>
      <c r="M11" s="5" t="str">
        <f aca="false">IF(J11="","",IF(J11="Green","No action",IF(L11="Yes","Resolved",IF(J11="Red","Blocker: do not sign","Condition before go-live"))))</f>
        <v/>
      </c>
      <c r="N11" s="42"/>
      <c r="O11" s="42"/>
    </row>
    <row r="12" customFormat="false" ht="63.75" hidden="false" customHeight="true" outlineLevel="0" collapsed="false">
      <c r="A12" s="27" t="s">
        <v>181</v>
      </c>
      <c r="B12" s="28" t="s">
        <v>86</v>
      </c>
      <c r="C12" s="26" t="s">
        <v>96</v>
      </c>
      <c r="D12" s="6" t="s">
        <v>182</v>
      </c>
      <c r="E12" s="6" t="s">
        <v>183</v>
      </c>
      <c r="F12" s="6" t="s">
        <v>184</v>
      </c>
      <c r="G12" s="42"/>
      <c r="H12" s="42"/>
      <c r="I12" s="42"/>
      <c r="J12" s="43"/>
      <c r="K12" s="6" t="s">
        <v>186</v>
      </c>
      <c r="L12" s="43"/>
      <c r="M12" s="5" t="str">
        <f aca="false">IF(J12="","",IF(J12="Green","No action",IF(L12="Yes","Resolved",IF(J12="Red","Blocker: do not sign","Condition before go-live"))))</f>
        <v/>
      </c>
      <c r="N12" s="42"/>
      <c r="O12" s="42"/>
    </row>
    <row r="13" customFormat="false" ht="63.75" hidden="false" customHeight="true" outlineLevel="0" collapsed="false">
      <c r="A13" s="27" t="s">
        <v>188</v>
      </c>
      <c r="B13" s="28" t="s">
        <v>86</v>
      </c>
      <c r="C13" s="29" t="s">
        <v>95</v>
      </c>
      <c r="D13" s="6" t="s">
        <v>189</v>
      </c>
      <c r="E13" s="6" t="s">
        <v>190</v>
      </c>
      <c r="F13" s="6" t="s">
        <v>191</v>
      </c>
      <c r="G13" s="42"/>
      <c r="H13" s="42"/>
      <c r="I13" s="42"/>
      <c r="J13" s="43"/>
      <c r="K13" s="6" t="s">
        <v>194</v>
      </c>
      <c r="L13" s="43"/>
      <c r="M13" s="5" t="str">
        <f aca="false">IF(J13="","",IF(J13="Green","No action",IF(L13="Yes","Resolved",IF(J13="Red","Blocker: do not sign","Condition before go-live"))))</f>
        <v/>
      </c>
      <c r="N13" s="42"/>
      <c r="O13" s="42"/>
    </row>
    <row r="14" customFormat="false" ht="63.75" hidden="false" customHeight="true" outlineLevel="0" collapsed="false">
      <c r="A14" s="27" t="s">
        <v>195</v>
      </c>
      <c r="B14" s="28" t="s">
        <v>86</v>
      </c>
      <c r="C14" s="26" t="s">
        <v>96</v>
      </c>
      <c r="D14" s="6" t="s">
        <v>196</v>
      </c>
      <c r="E14" s="6" t="s">
        <v>197</v>
      </c>
      <c r="F14" s="6" t="s">
        <v>184</v>
      </c>
      <c r="G14" s="42"/>
      <c r="H14" s="42"/>
      <c r="I14" s="42"/>
      <c r="J14" s="43"/>
      <c r="K14" s="6" t="s">
        <v>200</v>
      </c>
      <c r="L14" s="43"/>
      <c r="M14" s="5" t="str">
        <f aca="false">IF(J14="","",IF(J14="Green","No action",IF(L14="Yes","Resolved",IF(J14="Red","Blocker: do not sign","Condition before go-live"))))</f>
        <v/>
      </c>
      <c r="N14" s="42"/>
      <c r="O14" s="42"/>
    </row>
    <row r="15" customFormat="false" ht="84" hidden="false" customHeight="true" outlineLevel="0" collapsed="false">
      <c r="A15" s="27" t="s">
        <v>202</v>
      </c>
      <c r="B15" s="28" t="s">
        <v>86</v>
      </c>
      <c r="C15" s="26" t="s">
        <v>96</v>
      </c>
      <c r="D15" s="6" t="s">
        <v>203</v>
      </c>
      <c r="E15" s="6" t="s">
        <v>204</v>
      </c>
      <c r="F15" s="6" t="s">
        <v>205</v>
      </c>
      <c r="G15" s="42"/>
      <c r="H15" s="42"/>
      <c r="I15" s="42"/>
      <c r="J15" s="43"/>
      <c r="K15" s="6" t="s">
        <v>208</v>
      </c>
      <c r="L15" s="43"/>
      <c r="M15" s="5" t="str">
        <f aca="false">IF(J15="","",IF(J15="Green","No action",IF(L15="Yes","Resolved",IF(J15="Red","Blocker: do not sign","Condition before go-live"))))</f>
        <v/>
      </c>
      <c r="N15" s="42"/>
      <c r="O15" s="42"/>
    </row>
    <row r="16" customFormat="false" ht="63.75" hidden="false" customHeight="true" outlineLevel="0" collapsed="false">
      <c r="A16" s="32" t="s">
        <v>210</v>
      </c>
      <c r="B16" s="33" t="s">
        <v>87</v>
      </c>
      <c r="C16" s="26" t="s">
        <v>96</v>
      </c>
      <c r="D16" s="6" t="s">
        <v>211</v>
      </c>
      <c r="E16" s="6" t="s">
        <v>212</v>
      </c>
      <c r="F16" s="6" t="s">
        <v>184</v>
      </c>
      <c r="G16" s="42"/>
      <c r="H16" s="42"/>
      <c r="I16" s="42"/>
      <c r="J16" s="43"/>
      <c r="K16" s="6" t="s">
        <v>215</v>
      </c>
      <c r="L16" s="43"/>
      <c r="M16" s="5" t="str">
        <f aca="false">IF(J16="","",IF(J16="Green","No action",IF(L16="Yes","Resolved",IF(J16="Red","Blocker: do not sign","Condition before go-live"))))</f>
        <v/>
      </c>
      <c r="N16" s="42"/>
      <c r="O16" s="42"/>
    </row>
    <row r="17" customFormat="false" ht="63.75" hidden="false" customHeight="true" outlineLevel="0" collapsed="false">
      <c r="A17" s="32" t="s">
        <v>216</v>
      </c>
      <c r="B17" s="33" t="s">
        <v>87</v>
      </c>
      <c r="C17" s="26" t="s">
        <v>96</v>
      </c>
      <c r="D17" s="6" t="s">
        <v>217</v>
      </c>
      <c r="E17" s="6" t="s">
        <v>218</v>
      </c>
      <c r="F17" s="6" t="s">
        <v>184</v>
      </c>
      <c r="G17" s="42"/>
      <c r="H17" s="42"/>
      <c r="I17" s="42"/>
      <c r="J17" s="43"/>
      <c r="K17" s="6" t="s">
        <v>221</v>
      </c>
      <c r="L17" s="43"/>
      <c r="M17" s="5" t="str">
        <f aca="false">IF(J17="","",IF(J17="Green","No action",IF(L17="Yes","Resolved",IF(J17="Red","Blocker: do not sign","Condition before go-live"))))</f>
        <v/>
      </c>
      <c r="N17" s="42"/>
      <c r="O17" s="42"/>
    </row>
    <row r="18" customFormat="false" ht="195.75" hidden="false" customHeight="true" outlineLevel="0" collapsed="false">
      <c r="A18" s="32" t="s">
        <v>223</v>
      </c>
      <c r="B18" s="33" t="s">
        <v>87</v>
      </c>
      <c r="C18" s="26" t="s">
        <v>96</v>
      </c>
      <c r="D18" s="6" t="s">
        <v>224</v>
      </c>
      <c r="E18" s="6" t="s">
        <v>225</v>
      </c>
      <c r="F18" s="6" t="s">
        <v>226</v>
      </c>
      <c r="G18" s="42"/>
      <c r="H18" s="42"/>
      <c r="I18" s="42"/>
      <c r="J18" s="43"/>
      <c r="K18" s="6" t="s">
        <v>229</v>
      </c>
      <c r="L18" s="43"/>
      <c r="M18" s="5" t="str">
        <f aca="false">IF(J18="","",IF(J18="Green","No action",IF(L18="Yes","Resolved",IF(J18="Red","Blocker: do not sign","Condition before go-live"))))</f>
        <v/>
      </c>
      <c r="N18" s="42"/>
      <c r="O18" s="42"/>
    </row>
    <row r="19" customFormat="false" ht="63.75" hidden="false" customHeight="true" outlineLevel="0" collapsed="false">
      <c r="A19" s="32" t="s">
        <v>231</v>
      </c>
      <c r="B19" s="33" t="s">
        <v>87</v>
      </c>
      <c r="C19" s="26" t="s">
        <v>96</v>
      </c>
      <c r="D19" s="6" t="s">
        <v>232</v>
      </c>
      <c r="E19" s="6" t="s">
        <v>233</v>
      </c>
      <c r="F19" s="6" t="s">
        <v>234</v>
      </c>
      <c r="G19" s="42"/>
      <c r="H19" s="42"/>
      <c r="I19" s="42"/>
      <c r="J19" s="43"/>
      <c r="K19" s="6" t="s">
        <v>237</v>
      </c>
      <c r="L19" s="43"/>
      <c r="M19" s="5" t="str">
        <f aca="false">IF(J19="","",IF(J19="Green","No action",IF(L19="Yes","Resolved",IF(J19="Red","Blocker: do not sign","Condition before go-live"))))</f>
        <v/>
      </c>
      <c r="N19" s="42"/>
      <c r="O19" s="42"/>
    </row>
    <row r="20" customFormat="false" ht="63.75" hidden="false" customHeight="true" outlineLevel="0" collapsed="false">
      <c r="A20" s="32" t="s">
        <v>240</v>
      </c>
      <c r="B20" s="33" t="s">
        <v>87</v>
      </c>
      <c r="C20" s="26" t="s">
        <v>96</v>
      </c>
      <c r="D20" s="6" t="s">
        <v>241</v>
      </c>
      <c r="E20" s="6" t="s">
        <v>242</v>
      </c>
      <c r="F20" s="6" t="s">
        <v>243</v>
      </c>
      <c r="G20" s="42"/>
      <c r="H20" s="42"/>
      <c r="I20" s="42"/>
      <c r="J20" s="43"/>
      <c r="K20" s="6" t="s">
        <v>246</v>
      </c>
      <c r="L20" s="43"/>
      <c r="M20" s="5" t="str">
        <f aca="false">IF(J20="","",IF(J20="Green","No action",IF(L20="Yes","Resolved",IF(J20="Red","Blocker: do not sign","Condition before go-live"))))</f>
        <v/>
      </c>
      <c r="N20" s="42"/>
      <c r="O20" s="42"/>
    </row>
    <row r="21" customFormat="false" ht="87" hidden="false" customHeight="true" outlineLevel="0" collapsed="false">
      <c r="A21" s="34" t="s">
        <v>247</v>
      </c>
      <c r="B21" s="35" t="s">
        <v>88</v>
      </c>
      <c r="C21" s="29" t="s">
        <v>95</v>
      </c>
      <c r="D21" s="6" t="s">
        <v>248</v>
      </c>
      <c r="E21" s="6" t="s">
        <v>249</v>
      </c>
      <c r="F21" s="6" t="s">
        <v>250</v>
      </c>
      <c r="G21" s="42"/>
      <c r="H21" s="42"/>
      <c r="I21" s="42"/>
      <c r="J21" s="43"/>
      <c r="K21" s="6" t="s">
        <v>252</v>
      </c>
      <c r="L21" s="43"/>
      <c r="M21" s="5" t="str">
        <f aca="false">IF(J21="","",IF(J21="Green","No action",IF(L21="Yes","Resolved",IF(J21="Red","Blocker: do not sign","Condition before go-live"))))</f>
        <v/>
      </c>
      <c r="N21" s="42"/>
      <c r="O21" s="42"/>
    </row>
    <row r="22" customFormat="false" ht="63.75" hidden="false" customHeight="true" outlineLevel="0" collapsed="false">
      <c r="A22" s="34" t="s">
        <v>254</v>
      </c>
      <c r="B22" s="35" t="s">
        <v>88</v>
      </c>
      <c r="C22" s="29" t="s">
        <v>95</v>
      </c>
      <c r="D22" s="6" t="s">
        <v>255</v>
      </c>
      <c r="E22" s="6" t="s">
        <v>256</v>
      </c>
      <c r="F22" s="6" t="s">
        <v>257</v>
      </c>
      <c r="G22" s="42"/>
      <c r="H22" s="42"/>
      <c r="I22" s="42"/>
      <c r="J22" s="43"/>
      <c r="K22" s="6" t="s">
        <v>260</v>
      </c>
      <c r="L22" s="43"/>
      <c r="M22" s="5" t="str">
        <f aca="false">IF(J22="","",IF(J22="Green","No action",IF(L22="Yes","Resolved",IF(J22="Red","Blocker: do not sign","Condition before go-live"))))</f>
        <v/>
      </c>
      <c r="N22" s="42"/>
      <c r="O22" s="42"/>
    </row>
    <row r="23" customFormat="false" ht="63.75" hidden="false" customHeight="true" outlineLevel="0" collapsed="false">
      <c r="A23" s="34" t="s">
        <v>261</v>
      </c>
      <c r="B23" s="35" t="s">
        <v>88</v>
      </c>
      <c r="C23" s="29" t="s">
        <v>95</v>
      </c>
      <c r="D23" s="6" t="s">
        <v>262</v>
      </c>
      <c r="E23" s="6" t="s">
        <v>263</v>
      </c>
      <c r="F23" s="6" t="s">
        <v>264</v>
      </c>
      <c r="G23" s="42"/>
      <c r="H23" s="42"/>
      <c r="I23" s="42"/>
      <c r="J23" s="43"/>
      <c r="K23" s="6" t="s">
        <v>266</v>
      </c>
      <c r="L23" s="43"/>
      <c r="M23" s="5" t="str">
        <f aca="false">IF(J23="","",IF(J23="Green","No action",IF(L23="Yes","Resolved",IF(J23="Red","Blocker: do not sign","Condition before go-live"))))</f>
        <v/>
      </c>
      <c r="N23" s="42"/>
      <c r="O23" s="42"/>
    </row>
    <row r="24" customFormat="false" ht="63.75" hidden="false" customHeight="true" outlineLevel="0" collapsed="false">
      <c r="A24" s="34" t="s">
        <v>267</v>
      </c>
      <c r="B24" s="35" t="s">
        <v>88</v>
      </c>
      <c r="C24" s="29" t="s">
        <v>95</v>
      </c>
      <c r="D24" s="6" t="s">
        <v>268</v>
      </c>
      <c r="E24" s="6" t="s">
        <v>269</v>
      </c>
      <c r="F24" s="6" t="s">
        <v>270</v>
      </c>
      <c r="G24" s="42"/>
      <c r="H24" s="42"/>
      <c r="I24" s="42"/>
      <c r="J24" s="43"/>
      <c r="K24" s="6" t="s">
        <v>266</v>
      </c>
      <c r="L24" s="43"/>
      <c r="M24" s="5" t="str">
        <f aca="false">IF(J24="","",IF(J24="Green","No action",IF(L24="Yes","Resolved",IF(J24="Red","Blocker: do not sign","Condition before go-live"))))</f>
        <v/>
      </c>
      <c r="N24" s="42"/>
      <c r="O24" s="42"/>
    </row>
    <row r="25" customFormat="false" ht="63.75" hidden="false" customHeight="true" outlineLevel="0" collapsed="false">
      <c r="A25" s="34" t="s">
        <v>272</v>
      </c>
      <c r="B25" s="35" t="s">
        <v>88</v>
      </c>
      <c r="C25" s="26" t="s">
        <v>96</v>
      </c>
      <c r="D25" s="6" t="s">
        <v>273</v>
      </c>
      <c r="E25" s="6" t="s">
        <v>274</v>
      </c>
      <c r="F25" s="6" t="s">
        <v>275</v>
      </c>
      <c r="G25" s="42"/>
      <c r="H25" s="42"/>
      <c r="I25" s="42"/>
      <c r="J25" s="43"/>
      <c r="K25" s="6" t="s">
        <v>278</v>
      </c>
      <c r="L25" s="43"/>
      <c r="M25" s="5" t="str">
        <f aca="false">IF(J25="","",IF(J25="Green","No action",IF(L25="Yes","Resolved",IF(J25="Red","Blocker: do not sign","Condition before go-live"))))</f>
        <v/>
      </c>
      <c r="N25" s="42"/>
      <c r="O25" s="42"/>
    </row>
    <row r="26" customFormat="false" ht="87.75" hidden="false" customHeight="true" outlineLevel="0" collapsed="false">
      <c r="A26" s="34" t="s">
        <v>280</v>
      </c>
      <c r="B26" s="35" t="s">
        <v>88</v>
      </c>
      <c r="C26" s="26" t="s">
        <v>96</v>
      </c>
      <c r="D26" s="6" t="s">
        <v>281</v>
      </c>
      <c r="E26" s="6" t="s">
        <v>282</v>
      </c>
      <c r="F26" s="6" t="s">
        <v>283</v>
      </c>
      <c r="G26" s="42"/>
      <c r="H26" s="42"/>
      <c r="I26" s="42"/>
      <c r="J26" s="43"/>
      <c r="K26" s="6" t="s">
        <v>286</v>
      </c>
      <c r="L26" s="43"/>
      <c r="M26" s="5" t="str">
        <f aca="false">IF(J26="","",IF(J26="Green","No action",IF(L26="Yes","Resolved",IF(J26="Red","Blocker: do not sign","Condition before go-live"))))</f>
        <v/>
      </c>
      <c r="N26" s="42"/>
      <c r="O26" s="42"/>
    </row>
    <row r="27" customFormat="false" ht="66.75" hidden="false" customHeight="true" outlineLevel="0" collapsed="false">
      <c r="A27" s="36" t="s">
        <v>287</v>
      </c>
      <c r="B27" s="37" t="s">
        <v>89</v>
      </c>
      <c r="C27" s="29" t="s">
        <v>95</v>
      </c>
      <c r="D27" s="6" t="s">
        <v>288</v>
      </c>
      <c r="E27" s="6" t="s">
        <v>289</v>
      </c>
      <c r="F27" s="6" t="s">
        <v>290</v>
      </c>
      <c r="G27" s="42"/>
      <c r="H27" s="42"/>
      <c r="I27" s="42"/>
      <c r="J27" s="43"/>
      <c r="K27" s="6" t="s">
        <v>293</v>
      </c>
      <c r="L27" s="43"/>
      <c r="M27" s="5" t="str">
        <f aca="false">IF(J27="","",IF(J27="Green","No action",IF(L27="Yes","Resolved",IF(J27="Red","Blocker: do not sign","Condition before go-live"))))</f>
        <v/>
      </c>
      <c r="N27" s="42"/>
      <c r="O27" s="42"/>
    </row>
    <row r="28" customFormat="false" ht="63.75" hidden="false" customHeight="true" outlineLevel="0" collapsed="false">
      <c r="A28" s="36" t="s">
        <v>294</v>
      </c>
      <c r="B28" s="37" t="s">
        <v>89</v>
      </c>
      <c r="C28" s="29" t="s">
        <v>95</v>
      </c>
      <c r="D28" s="6" t="s">
        <v>295</v>
      </c>
      <c r="E28" s="6" t="s">
        <v>296</v>
      </c>
      <c r="F28" s="6" t="s">
        <v>297</v>
      </c>
      <c r="G28" s="42"/>
      <c r="H28" s="42"/>
      <c r="I28" s="42"/>
      <c r="J28" s="43"/>
      <c r="K28" s="6" t="s">
        <v>300</v>
      </c>
      <c r="L28" s="43"/>
      <c r="M28" s="5" t="str">
        <f aca="false">IF(J28="","",IF(J28="Green","No action",IF(L28="Yes","Resolved",IF(J28="Red","Blocker: do not sign","Condition before go-live"))))</f>
        <v/>
      </c>
      <c r="N28" s="42"/>
      <c r="O28" s="42"/>
    </row>
    <row r="29" customFormat="false" ht="63.75" hidden="false" customHeight="true" outlineLevel="0" collapsed="false">
      <c r="A29" s="36" t="s">
        <v>301</v>
      </c>
      <c r="B29" s="37" t="s">
        <v>89</v>
      </c>
      <c r="C29" s="29" t="s">
        <v>95</v>
      </c>
      <c r="D29" s="6" t="s">
        <v>302</v>
      </c>
      <c r="E29" s="6" t="s">
        <v>303</v>
      </c>
      <c r="F29" s="6" t="s">
        <v>304</v>
      </c>
      <c r="G29" s="42"/>
      <c r="H29" s="42"/>
      <c r="I29" s="42"/>
      <c r="J29" s="43"/>
      <c r="K29" s="6" t="s">
        <v>306</v>
      </c>
      <c r="L29" s="43"/>
      <c r="M29" s="5" t="str">
        <f aca="false">IF(J29="","",IF(J29="Green","No action",IF(L29="Yes","Resolved",IF(J29="Red","Blocker: do not sign","Condition before go-live"))))</f>
        <v/>
      </c>
      <c r="N29" s="42"/>
      <c r="O29" s="42"/>
    </row>
    <row r="30" customFormat="false" ht="63.75" hidden="false" customHeight="true" outlineLevel="0" collapsed="false">
      <c r="A30" s="36" t="s">
        <v>307</v>
      </c>
      <c r="B30" s="37" t="s">
        <v>89</v>
      </c>
      <c r="C30" s="26" t="s">
        <v>96</v>
      </c>
      <c r="D30" s="6" t="s">
        <v>308</v>
      </c>
      <c r="E30" s="6" t="s">
        <v>309</v>
      </c>
      <c r="F30" s="6" t="s">
        <v>310</v>
      </c>
      <c r="G30" s="42"/>
      <c r="H30" s="42"/>
      <c r="I30" s="42"/>
      <c r="J30" s="43"/>
      <c r="K30" s="6" t="s">
        <v>313</v>
      </c>
      <c r="L30" s="43"/>
      <c r="M30" s="5" t="str">
        <f aca="false">IF(J30="","",IF(J30="Green","No action",IF(L30="Yes","Resolved",IF(J30="Red","Blocker: do not sign","Condition before go-live"))))</f>
        <v/>
      </c>
      <c r="N30" s="42"/>
      <c r="O30" s="42"/>
    </row>
    <row r="31" customFormat="false" ht="132" hidden="false" customHeight="true" outlineLevel="0" collapsed="false">
      <c r="A31" s="38" t="s">
        <v>315</v>
      </c>
      <c r="B31" s="39" t="s">
        <v>90</v>
      </c>
      <c r="C31" s="26" t="s">
        <v>96</v>
      </c>
      <c r="D31" s="6" t="s">
        <v>316</v>
      </c>
      <c r="E31" s="6" t="s">
        <v>317</v>
      </c>
      <c r="F31" s="6" t="s">
        <v>318</v>
      </c>
      <c r="G31" s="42"/>
      <c r="H31" s="42"/>
      <c r="I31" s="42"/>
      <c r="J31" s="43"/>
      <c r="K31" s="6" t="s">
        <v>321</v>
      </c>
      <c r="L31" s="43"/>
      <c r="M31" s="5" t="str">
        <f aca="false">IF(J31="","",IF(J31="Green","No action",IF(L31="Yes","Resolved",IF(J31="Red","Blocker: do not sign","Condition before go-live"))))</f>
        <v/>
      </c>
      <c r="N31" s="42"/>
      <c r="O31" s="42"/>
    </row>
    <row r="32" customFormat="false" ht="63.75" hidden="false" customHeight="true" outlineLevel="0" collapsed="false">
      <c r="A32" s="38" t="s">
        <v>323</v>
      </c>
      <c r="B32" s="39" t="s">
        <v>90</v>
      </c>
      <c r="C32" s="26" t="s">
        <v>96</v>
      </c>
      <c r="D32" s="6" t="s">
        <v>324</v>
      </c>
      <c r="E32" s="6" t="s">
        <v>325</v>
      </c>
      <c r="F32" s="6" t="s">
        <v>326</v>
      </c>
      <c r="G32" s="42"/>
      <c r="H32" s="42"/>
      <c r="I32" s="42"/>
      <c r="J32" s="43"/>
      <c r="K32" s="6" t="s">
        <v>329</v>
      </c>
      <c r="L32" s="43"/>
      <c r="M32" s="5" t="str">
        <f aca="false">IF(J32="","",IF(J32="Green","No action",IF(L32="Yes","Resolved",IF(J32="Red","Blocker: do not sign","Condition before go-live"))))</f>
        <v/>
      </c>
      <c r="N32" s="42"/>
      <c r="O32" s="42"/>
    </row>
    <row r="33" customFormat="false" ht="63.75" hidden="false" customHeight="true" outlineLevel="0" collapsed="false">
      <c r="A33" s="38" t="s">
        <v>330</v>
      </c>
      <c r="B33" s="39" t="s">
        <v>90</v>
      </c>
      <c r="C33" s="29" t="s">
        <v>95</v>
      </c>
      <c r="D33" s="6" t="s">
        <v>331</v>
      </c>
      <c r="E33" s="6" t="s">
        <v>332</v>
      </c>
      <c r="F33" s="6" t="s">
        <v>333</v>
      </c>
      <c r="G33" s="42"/>
      <c r="H33" s="42"/>
      <c r="I33" s="42"/>
      <c r="J33" s="43"/>
      <c r="K33" s="6" t="s">
        <v>336</v>
      </c>
      <c r="L33" s="43"/>
      <c r="M33" s="5" t="str">
        <f aca="false">IF(J33="","",IF(J33="Green","No action",IF(L33="Yes","Resolved",IF(J33="Red","Blocker: do not sign","Condition before go-live"))))</f>
        <v/>
      </c>
      <c r="N33" s="42"/>
      <c r="O33" s="42"/>
    </row>
    <row r="34" customFormat="false" ht="63.75" hidden="false" customHeight="true" outlineLevel="0" collapsed="false">
      <c r="A34" s="38" t="s">
        <v>337</v>
      </c>
      <c r="B34" s="39" t="s">
        <v>90</v>
      </c>
      <c r="C34" s="29" t="s">
        <v>95</v>
      </c>
      <c r="D34" s="6" t="s">
        <v>338</v>
      </c>
      <c r="E34" s="6" t="s">
        <v>339</v>
      </c>
      <c r="F34" s="6" t="s">
        <v>340</v>
      </c>
      <c r="G34" s="42"/>
      <c r="H34" s="42"/>
      <c r="I34" s="42"/>
      <c r="J34" s="43"/>
      <c r="K34" s="6" t="s">
        <v>343</v>
      </c>
      <c r="L34" s="43"/>
      <c r="M34" s="5" t="str">
        <f aca="false">IF(J34="","",IF(J34="Green","No action",IF(L34="Yes","Resolved",IF(J34="Red","Blocker: do not sign","Condition before go-live"))))</f>
        <v/>
      </c>
      <c r="N34" s="42"/>
      <c r="O34" s="42"/>
    </row>
    <row r="35" customFormat="false" ht="189" hidden="false" customHeight="true" outlineLevel="0" collapsed="false">
      <c r="A35" s="40" t="s">
        <v>344</v>
      </c>
      <c r="B35" s="41" t="s">
        <v>91</v>
      </c>
      <c r="C35" s="26" t="s">
        <v>96</v>
      </c>
      <c r="D35" s="6" t="s">
        <v>345</v>
      </c>
      <c r="E35" s="6" t="s">
        <v>346</v>
      </c>
      <c r="F35" s="6" t="s">
        <v>347</v>
      </c>
      <c r="G35" s="42"/>
      <c r="H35" s="42"/>
      <c r="I35" s="42"/>
      <c r="J35" s="43"/>
      <c r="K35" s="6" t="s">
        <v>350</v>
      </c>
      <c r="L35" s="43"/>
      <c r="M35" s="5" t="str">
        <f aca="false">IF(J35="","",IF(J35="Green","No action",IF(L35="Yes","Resolved",IF(J35="Red","Blocker: do not sign","Condition before go-live"))))</f>
        <v/>
      </c>
      <c r="N35" s="42"/>
      <c r="O35" s="42"/>
    </row>
    <row r="36" customFormat="false" ht="63.75" hidden="false" customHeight="true" outlineLevel="0" collapsed="false">
      <c r="A36" s="40" t="s">
        <v>353</v>
      </c>
      <c r="B36" s="41" t="s">
        <v>91</v>
      </c>
      <c r="C36" s="26" t="s">
        <v>96</v>
      </c>
      <c r="D36" s="6" t="s">
        <v>354</v>
      </c>
      <c r="E36" s="6" t="s">
        <v>355</v>
      </c>
      <c r="F36" s="6" t="s">
        <v>356</v>
      </c>
      <c r="G36" s="42"/>
      <c r="H36" s="42"/>
      <c r="I36" s="42"/>
      <c r="J36" s="43"/>
      <c r="K36" s="6" t="s">
        <v>359</v>
      </c>
      <c r="L36" s="43"/>
      <c r="M36" s="5" t="str">
        <f aca="false">IF(J36="","",IF(J36="Green","No action",IF(L36="Yes","Resolved",IF(J36="Red","Blocker: do not sign","Condition before go-live"))))</f>
        <v/>
      </c>
      <c r="N36" s="42"/>
      <c r="O36" s="42"/>
    </row>
    <row r="37" customFormat="false" ht="63.75" hidden="false" customHeight="true" outlineLevel="0" collapsed="false">
      <c r="A37" s="40" t="s">
        <v>362</v>
      </c>
      <c r="B37" s="41" t="s">
        <v>91</v>
      </c>
      <c r="C37" s="29" t="s">
        <v>95</v>
      </c>
      <c r="D37" s="6" t="s">
        <v>363</v>
      </c>
      <c r="E37" s="6" t="s">
        <v>364</v>
      </c>
      <c r="F37" s="6" t="s">
        <v>365</v>
      </c>
      <c r="G37" s="42"/>
      <c r="H37" s="42"/>
      <c r="I37" s="42"/>
      <c r="J37" s="43"/>
      <c r="K37" s="6" t="s">
        <v>368</v>
      </c>
      <c r="L37" s="43"/>
      <c r="M37" s="5" t="str">
        <f aca="false">IF(J37="","",IF(J37="Green","No action",IF(L37="Yes","Resolved",IF(J37="Red","Blocker: do not sign","Condition before go-live"))))</f>
        <v/>
      </c>
      <c r="N37" s="42"/>
      <c r="O37" s="42"/>
    </row>
  </sheetData>
  <conditionalFormatting sqref="J4:J37">
    <cfRule type="cellIs" priority="2" operator="equal" aboveAverage="0" equalAverage="0" bottom="0" percent="0" rank="0" text="" dxfId="4">
      <formula>"Red"</formula>
    </cfRule>
    <cfRule type="cellIs" priority="3" operator="equal" aboveAverage="0" equalAverage="0" bottom="0" percent="0" rank="0" text="" dxfId="5">
      <formula>"Amber"</formula>
    </cfRule>
    <cfRule type="cellIs" priority="4" operator="equal" aboveAverage="0" equalAverage="0" bottom="0" percent="0" rank="0" text="" dxfId="6">
      <formula>"Green"</formula>
    </cfRule>
  </conditionalFormatting>
  <conditionalFormatting sqref="M4:M37">
    <cfRule type="expression" priority="5" aboveAverage="0" equalAverage="0" bottom="0" percent="0" rank="0" text="" dxfId="0">
      <formula>LEFT(M4,7)="Blocker"</formula>
    </cfRule>
    <cfRule type="expression" priority="6" aboveAverage="0" equalAverage="0" bottom="0" percent="0" rank="0" text="" dxfId="1">
      <formula>LEFT(M4,9)="Condition"</formula>
    </cfRule>
    <cfRule type="expression" priority="7" aboveAverage="0" equalAverage="0" bottom="0" percent="0" rank="0" text="" dxfId="2">
      <formula>OR(M4="No action",M4="Resolved")</formula>
    </cfRule>
  </conditionalFormatting>
  <dataValidations count="2">
    <dataValidation allowBlank="true" errorStyle="stop" operator="between" showDropDown="false" showErrorMessage="false" showInputMessage="false" sqref="J4:J37" type="list">
      <formula1>"Green,Amber,Red"</formula1>
      <formula2>0</formula2>
    </dataValidation>
    <dataValidation allowBlank="true" errorStyle="stop" operator="between" showDropDown="false" showErrorMessage="false" showInputMessage="false" sqref="L4:L3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2026-10-05T15:27:36Z</dcterms:created>
  <dc:creator>Narendra Karki</dc:creator>
  <dc:description/>
  <dc:language>en-US</dc:language>
  <cp:lastModifiedBy>Narendra Karki</cp:lastModifiedBy>
  <dcterms:modified xsi:type="dcterms:W3CDTF">2026-10-05T15:27:36Z</dcterms:modified>
  <cp:revision>0</cp:revision>
  <dc:subject/>
  <dc:title>AI Vendor Assessment: questionnaire, contract clauses and decision</dc:title>
</cp:coreProperties>
</file>

<file path=docProps/custom.xml><?xml version="1.0" encoding="utf-8"?>
<Properties xmlns="http://schemas.openxmlformats.org/officeDocument/2006/custom-properties" xmlns:vt="http://schemas.openxmlformats.org/officeDocument/2006/docPropsVTypes"/>
</file>