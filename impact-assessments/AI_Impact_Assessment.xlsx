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Screening" sheetId="3" state="visible" r:id="rId5"/>
    <sheet name="DPIA" sheetId="4" state="visible" r:id="rId6"/>
    <sheet name="FRIA" sheetId="5" state="visible" r:id="rId7"/>
    <sheet name="Risks" sheetId="6" state="visible" r:id="rId8"/>
    <sheet name="Screening Template" sheetId="7" state="visible" r:id="rId9"/>
    <sheet name="DPIA Template" sheetId="8" state="visible" r:id="rId10"/>
    <sheet name="FRIA Template" sheetId="9" state="visible" r:id="rId11"/>
    <sheet name="Risks Template" sheetId="10" state="visible" r:id="rId12"/>
  </sheets>
  <calcPr iterateCount="100" refMode="A1" iterate="false" iterateDelta="0.0001"/>
</workbook>
</file>

<file path=xl/sharedStrings.xml><?xml version="1.0" encoding="utf-8"?>
<sst xmlns="http://schemas.openxmlformats.org/spreadsheetml/2006/main" count="473" uniqueCount="288">
  <si>
    <t xml:space="preserve">AI Impact Assessment: screening, DPIA, FRIA and risk workbook</t>
  </si>
  <si>
    <t xml:space="preserve">AI Governance Series, Part 5: github.com/NarendraKarki/ai-governance</t>
  </si>
  <si>
    <t xml:space="preserve">What this workbook is for</t>
  </si>
  <si>
    <t xml:space="preserve">An AI impact assessment asks one question before a system goes live (who could this harm, and what do we do about it?) and records the answer. In the UK and the EU that question is required by law in two forms. This workbook helps you work out which applies to each AI system, and then write it.</t>
  </si>
  <si>
    <t xml:space="preserve">The two assessments</t>
  </si>
  <si>
    <t xml:space="preserve">Data protection impact assessment (DPIA)</t>
  </si>
  <si>
    <t xml:space="preserve">UK GDPR and EU GDPR, Article 35. Required before processing that is likely to result in a high risk to people. Always required where there is (a) systematic and extensive evaluation of people based on automated processing, including profiling, on which decisions with legal or similarly significant effects are based; (b) large-scale processing of special category data such as health data; or (c) large-scale systematic monitoring of a publicly accessible area. It must describe the processing and its purposes, assess necessity and proportionality, assess the risks to people, and set out the measures. Applies now, in both the UK and the EU.</t>
  </si>
  <si>
    <t xml:space="preserve">Fundamental rights impact assessment (FRIA)</t>
  </si>
  <si>
    <t xml:space="preserve">EU AI Act, Article 27. Required of deployers of Annex III high-risk AI systems (other than critical infrastructure, point 2) that are public bodies or private entities providing public services, and of every deployer of credit-scoring systems (Annex III 5(b)) or life and health insurance risk-assessment and pricing systems (Annex III 5(c)). Contents: the processes the system is used in; the period and frequency of use; the people and groups affected; the specific risks of harm to them; human oversight; and what is done if the risks materialise. The results are notified to the market surveillance authority. It can cross-refer to, or include parts of, an existing DPIA (Article 27(4)). Applies from 2 December 2027 to systems put into service from then, and to earlier systems only if their design changes significantly (Article 111(2)). The UK has no equivalent.</t>
  </si>
  <si>
    <t xml:space="preserve">If it is not done</t>
  </si>
  <si>
    <t xml:space="preserve">Order to stop</t>
  </si>
  <si>
    <t xml:space="preserve">The regulator can impose a temporary or definitive limitation on processing, including a ban (UK GDPR and GDPR Art 58(2)(f)). For a pricing model, that means switching it off.</t>
  </si>
  <si>
    <t xml:space="preserve">Fine for the missing DPIA</t>
  </si>
  <si>
    <t xml:space="preserve">UK: up to £8,700,000 or 2% of total worldwide annual turnover, whichever is higher, for breach of Article 35 alone (UK GDPR Art 83(4)(a)). No harm to a customer has to have occurred.</t>
  </si>
  <si>
    <t xml:space="preserve">Missing FRIA</t>
  </si>
  <si>
    <t xml:space="preserve">The AI Act sets no fine of its own for Article 27: its fine list for operators (Art 99(4)) covers deployer duties under Article 26 but not Article 27. Penalties are left to each Member State (Art 99(1)).</t>
  </si>
  <si>
    <t xml:space="preserve">Automated decisions on health data</t>
  </si>
  <si>
    <t xml:space="preserve">UK: a significant decision based entirely or partly on special category data such as health data may not be taken solely by automated means unless the decision rests entirely on data given with explicit consent, or is necessary for a contract or required or authorised by law and the substantial public interest condition applies (UK GDPR Art 22B). Where a significant decision is solely automated, the person must be able to get information, make representations, obtain human intervention and contest it (Art 22C).</t>
  </si>
  <si>
    <t xml:space="preserve">Impact assessment or risk register?</t>
  </si>
  <si>
    <t xml:space="preserve">Impact assessment</t>
  </si>
  <si>
    <t xml:space="preserve">One system, written before it goes live and reopened when it changes. It asks what the system could do to people, so every risk here is rated on severity to people. A breach or an attack appears through the harm it does to them.</t>
  </si>
  <si>
    <t xml:space="preserve">AI risk register</t>
  </si>
  <si>
    <t xml:space="preserve">Every AI system, kept permanently. Each risk is rated twice: severity to people and severity to the organisation: fines, downtime, claims, reputation, the cost of being hacked. Technical vulnerabilities sit in the security register and are cross-referenced. The Part 4 workbook is a worked register.</t>
  </si>
  <si>
    <t xml:space="preserve">How they connect</t>
  </si>
  <si>
    <t xml:space="preserve">The assessment finds risks to people and hands them to the register (column P). The register tracks them to closure and adds the organisation's own risks. A register trigger (a retrain, a new data source, an incident) reopens the assessment.</t>
  </si>
  <si>
    <t xml:space="preserve">How to use it</t>
  </si>
  <si>
    <t xml:space="preserve">1. Screening</t>
  </si>
  <si>
    <t xml:space="preserve">One row per AI system. Answer the questions; the workbook shows which assessment is required. Where one is not required, write the reason; that record is part of the control.</t>
  </si>
  <si>
    <t xml:space="preserve">2. DPIA</t>
  </si>
  <si>
    <t xml:space="preserve">Write it for every system the screen marks as required, before the processing starts.</t>
  </si>
  <si>
    <t xml:space="preserve">3. FRIA</t>
  </si>
  <si>
    <t xml:space="preserve">Write it for every EU-deployed system the screen marks as required, before first use. Point to the DPIA wherever it already covers an element.</t>
  </si>
  <si>
    <t xml:space="preserve">4. Risks</t>
  </si>
  <si>
    <t xml:space="preserve">One row per risk to people, rated before and after the measures. Both assessments draw on the same rows. Column P links each row to the AI risk register.</t>
  </si>
  <si>
    <t xml:space="preserve">5. Summary</t>
  </si>
  <si>
    <t xml:space="preserve">Live counts from the worked example sheets.</t>
  </si>
  <si>
    <t xml:space="preserve">Scales (same as Part 4)</t>
  </si>
  <si>
    <t xml:space="preserve">Severity to people (1-4)</t>
  </si>
  <si>
    <t xml:space="preserve">1 inconvenience, reversible on request. 2 financial loss or distress, recoverable. 3 significant loss of access, opportunity or money, hard to reverse. 4 serious or lasting harm, or harm to many people.</t>
  </si>
  <si>
    <t xml:space="preserve">Likelihood (1-4)</t>
  </si>
  <si>
    <t xml:space="preserve">1 not expected in the system's life. 2 could happen. 3 expected to happen at some point. 4 expected to happen regularly.</t>
  </si>
  <si>
    <t xml:space="preserve">Score and band</t>
  </si>
  <si>
    <t xml:space="preserve">Score = severity x likelihood (1-16). Band: 12-16 Critical, 8-9 High, 4-6 Medium, 1-3 Low. Calculated for the risk before and after the measures.</t>
  </si>
  <si>
    <t xml:space="preserve">Colour key</t>
  </si>
  <si>
    <t xml:space="preserve">Yellow cells</t>
  </si>
  <si>
    <t xml:space="preserve">Cells to fill in on the template sheets.</t>
  </si>
  <si>
    <t xml:space="preserve">Critical</t>
  </si>
  <si>
    <t xml:space="preserve">Risk band</t>
  </si>
  <si>
    <t xml:space="preserve">High</t>
  </si>
  <si>
    <t xml:space="preserve">Medium</t>
  </si>
  <si>
    <t xml:space="preserve">Low</t>
  </si>
  <si>
    <t xml:space="preserve">The worked example</t>
  </si>
  <si>
    <t xml:space="preserve">Northgate Life &amp; Health (synthetic): a UK-headquartered insurer with a subsidiary in Ireland serving EU customers. Its underwriting model UW-1 reads the application, declared medical history, a GP report obtained with the applicant's consent and, for customers who join the wellness programme, the step count from a wearable, and returns accept, decline or a premium loading. The model's design notes classed the step count as lifestyle data. The assessment applied the test in Article 4(15): personal data that reveals information about a person's health status is data concerning health. A step count used to judge health risk does exactly that, so it was reclassified as health data.</t>
  </si>
  <si>
    <t xml:space="preserve">Sources</t>
  </si>
  <si>
    <t xml:space="preserve">EU AI Act</t>
  </si>
  <si>
    <t xml:space="preserve">Regulation (EU) 2024/1689 as consolidated on 27 July 2026 (CELEX 02024R1689-20260727): Articles 27, 99, 111 and 113, Annex III point 5. Read in the held text.</t>
  </si>
  <si>
    <t xml:space="preserve">EU GDPR</t>
  </si>
  <si>
    <t xml:space="preserve">Regulation (EU) 2016/679, Articles 4(15) and 35, EUR-Lex consolidated text.</t>
  </si>
  <si>
    <t xml:space="preserve">UK GDPR</t>
  </si>
  <si>
    <t xml:space="preserve">Articles 4(15), 22B, 22C, 35, 58(2)(f) and 83(4): revised text held (up to date to 21 August 2026) and legislation.gov.uk, September 2026.</t>
  </si>
  <si>
    <t xml:space="preserve">Educational material, not legal advice. The insurer, its systems and its people are fictional. Have your DPO or legal counsel review any assessment before it is relied on.</t>
  </si>
  <si>
    <t xml:space="preserve">Summary: worked example</t>
  </si>
  <si>
    <t xml:space="preserve">Live counts from the Screening and Risks sheets.</t>
  </si>
  <si>
    <t xml:space="preserve">Screening</t>
  </si>
  <si>
    <t xml:space="preserve">Result</t>
  </si>
  <si>
    <t xml:space="preserve">DPIA</t>
  </si>
  <si>
    <t xml:space="preserve">FRIA</t>
  </si>
  <si>
    <t xml:space="preserve">Required</t>
  </si>
  <si>
    <t xml:space="preserve">Not required: reason recorded</t>
  </si>
  <si>
    <t xml:space="preserve">AI systems screened</t>
  </si>
  <si>
    <t xml:space="preserve">Risks to people, before and after the measures</t>
  </si>
  <si>
    <t xml:space="preserve">Band</t>
  </si>
  <si>
    <t xml:space="preserve">Before</t>
  </si>
  <si>
    <t xml:space="preserve">After</t>
  </si>
  <si>
    <t xml:space="preserve">Total risks</t>
  </si>
  <si>
    <t xml:space="preserve">Risks still open or mitigating</t>
  </si>
  <si>
    <t xml:space="preserve">One row per AI system. Answer C-J; K and L are calculated. Where an assessment is not required, record the reason in M.</t>
  </si>
  <si>
    <t xml:space="preserve">ID</t>
  </si>
  <si>
    <t xml:space="preserve">AI system</t>
  </si>
  <si>
    <t xml:space="preserve">Processes personal data?</t>
  </si>
  <si>
    <t xml:space="preserve">Automated evaluation or profiling with legal or similarly significant effects? (Art 35(3)(a))</t>
  </si>
  <si>
    <t xml:space="preserve">Special category data (e.g. health) at large scale? (Art 35(3)(b))</t>
  </si>
  <si>
    <t xml:space="preserve">Systematic monitoring of a public area at large scale? (Art 35(3)(c))</t>
  </si>
  <si>
    <t xml:space="preserve">Otherwise likely to be high risk to people? (Art 35(1))</t>
  </si>
  <si>
    <t xml:space="preserve">Used in the EU?</t>
  </si>
  <si>
    <t xml:space="preserve">High-risk under Annex III (other than point 2)?</t>
  </si>
  <si>
    <t xml:space="preserve">Deployer type (Art 27(1))</t>
  </si>
  <si>
    <t xml:space="preserve">Reason recorded / notes</t>
  </si>
  <si>
    <t xml:space="preserve">Decision owner</t>
  </si>
  <si>
    <t xml:space="preserve">S1</t>
  </si>
  <si>
    <t xml:space="preserve">UW-1 underwriting model</t>
  </si>
  <si>
    <t xml:space="preserve">Yes</t>
  </si>
  <si>
    <t xml:space="preserve">No</t>
  </si>
  <si>
    <t xml:space="preserve">Life or health insurance (Annex III 5(c))</t>
  </si>
  <si>
    <t xml:space="preserve">Accept, decline and premium loading for individual health and life cover. Both DPIA triggers met. Annex III 5(c) system deployed in the EU by the Irish subsidiary.</t>
  </si>
  <si>
    <t xml:space="preserve">Chief Underwriting Officer</t>
  </si>
  <si>
    <t xml:space="preserve">S2</t>
  </si>
  <si>
    <t xml:space="preserve">Claims fraud screening</t>
  </si>
  <si>
    <t xml:space="preserve">None of these</t>
  </si>
  <si>
    <t xml:space="preserve">Flags claims and holds payment pending review: a similarly significant effect. Processes health claims data at scale. Fraud detection is not an Annex III use, so no FRIA.</t>
  </si>
  <si>
    <t xml:space="preserve">Head of Claims</t>
  </si>
  <si>
    <t xml:space="preserve">S3</t>
  </si>
  <si>
    <t xml:space="preserve">Customer service assistant</t>
  </si>
  <si>
    <t xml:space="preserve">Answers policy questions; no decisions about customers; health details are declined and routed to a person. Not high risk on the screen. AI Act transparency duty to tell users they are talking to an AI applies separately (Art 50).</t>
  </si>
  <si>
    <t xml:space="preserve">Head of Customer Operations</t>
  </si>
  <si>
    <t xml:space="preserve">S4</t>
  </si>
  <si>
    <t xml:space="preserve">Marketing send-time optimiser</t>
  </si>
  <si>
    <t xml:space="preserve">Chooses when to send marketing emails to customers who opted in. No decisions with legal or similar effects; no special category data.</t>
  </si>
  <si>
    <t xml:space="preserve">Marketing Director</t>
  </si>
  <si>
    <t xml:space="preserve">Data protection impact assessment for UW-1, structured on Article 35(7).</t>
  </si>
  <si>
    <t xml:space="preserve">Section</t>
  </si>
  <si>
    <t xml:space="preserve">What to record</t>
  </si>
  <si>
    <t xml:space="preserve">Worked example: UW-1</t>
  </si>
  <si>
    <t xml:space="preserve">Source</t>
  </si>
  <si>
    <t xml:space="preserve">Scope</t>
  </si>
  <si>
    <t xml:space="preserve">System, owner, date, version</t>
  </si>
  <si>
    <t xml:space="preserve">UW-1 underwriting model, v2.3. Owner: Chief Underwriting Officer. Assessment dated before go-live; review on every retrain.</t>
  </si>
  <si>
    <t xml:space="preserve">Art 35(1)</t>
  </si>
  <si>
    <t xml:space="preserve">(a) Description</t>
  </si>
  <si>
    <t xml:space="preserve">What the processing is, step by step</t>
  </si>
  <si>
    <t xml:space="preserve">Applicant submits the application and declared medical history; where the answers call for it, a GP report is requested with the applicant's consent; wellness-programme members share daily step count. UW-1 returns accept, decline or a premium loading. Underwriters review every decline and every loading before the customer is told.</t>
  </si>
  <si>
    <t xml:space="preserve">Art 35(7)(a)</t>
  </si>
  <si>
    <t xml:space="preserve">(a) Purposes</t>
  </si>
  <si>
    <t xml:space="preserve">Why it is done</t>
  </si>
  <si>
    <t xml:space="preserve">Assess the insurance risk of an individual applicant and set the premium.</t>
  </si>
  <si>
    <t xml:space="preserve">(a) Data</t>
  </si>
  <si>
    <t xml:space="preserve">Which personal data, from where</t>
  </si>
  <si>
    <t xml:space="preserve">Identity and contact data; declared medical history and GP reports (health data); step count from the wearable (reclassified as health data, see finding); policy and claims history.</t>
  </si>
  <si>
    <t xml:space="preserve">(a) People</t>
  </si>
  <si>
    <t xml:space="preserve">Whose data, and who is affected</t>
  </si>
  <si>
    <t xml:space="preserve">Applicants for individual health and life cover in the UK and Ireland; dependants named on a policy.</t>
  </si>
  <si>
    <t xml:space="preserve">(b) Necessity</t>
  </si>
  <si>
    <t xml:space="preserve">Is each data item needed for the purpose?</t>
  </si>
  <si>
    <t xml:space="preserve">Declared medical history and GP reports: needed for risk assessment. Step count: not needed to assess risk; retained only to award wellness discounts. Decision: step count may lower a premium, never raise it or decline.</t>
  </si>
  <si>
    <t xml:space="preserve">Art 35(7)(b)</t>
  </si>
  <si>
    <t xml:space="preserve">(b) Proportionality</t>
  </si>
  <si>
    <t xml:space="preserve">Could the purpose be met with less?</t>
  </si>
  <si>
    <t xml:space="preserve">GP reports requested only where the application answers call for one, and limited to the conditions declared. Step count held as a monthly average, not daily detail. Raw wearable data deleted after 90 days.</t>
  </si>
  <si>
    <t xml:space="preserve">(b) Lawful basis</t>
  </si>
  <si>
    <t xml:space="preserve">Basis for processing, and the Article 9 condition for health data</t>
  </si>
  <si>
    <t xml:space="preserve">Recorded decision: separate explicit consent for the wearable feed, outside the application. Counsel to confirm the Article 9 condition relied on for application health data.</t>
  </si>
  <si>
    <t xml:space="preserve">Arts 6, 9</t>
  </si>
  <si>
    <t xml:space="preserve">(b) Automated decisions</t>
  </si>
  <si>
    <t xml:space="preserve">Are any significant decisions on health data solely automated?</t>
  </si>
  <si>
    <t xml:space="preserve">No adverse decision is: every decline and every loading is reviewed by an underwriter before the customer is told (UK GDPR Art 22B). Standard-rate accepts go out automatically; counsel to confirm they are not significant decisions for Art 22A.</t>
  </si>
  <si>
    <t xml:space="preserve">Arts 22A-22C</t>
  </si>
  <si>
    <t xml:space="preserve">(c) Risks</t>
  </si>
  <si>
    <t xml:space="preserve">Risks to people's rights and freedoms</t>
  </si>
  <si>
    <t xml:space="preserve">See the Risks sheet, rows R1-R9, rated before and after the measures.</t>
  </si>
  <si>
    <t xml:space="preserve">Art 35(7)(c)</t>
  </si>
  <si>
    <t xml:space="preserve">(d) Measures</t>
  </si>
  <si>
    <t xml:space="preserve">Safeguards and security</t>
  </si>
  <si>
    <t xml:space="preserve">See the Risks sheet, column H. Headline measures: step count upside-only; underwriter review of declines and high loadings; explanation and challenge route for every decision; fairness test by group before each release; encryption and pseudonymised training data.</t>
  </si>
  <si>
    <t xml:space="preserve">Art 35(7)(d)</t>
  </si>
  <si>
    <t xml:space="preserve">Finding</t>
  </si>
  <si>
    <t xml:space="preserve">What the assessment changed</t>
  </si>
  <si>
    <t xml:space="preserve">The model's design notes classed the step count as lifestyle data. Raw activity data is not health data by itself; used to judge health risk, it reveals information about a person's health status, so here it is data concerning health (Art 4(15)). Lawful basis, consent and retention were changed before go-live.</t>
  </si>
  <si>
    <t xml:space="preserve">Art 4(15)</t>
  </si>
  <si>
    <t xml:space="preserve">Advice</t>
  </si>
  <si>
    <t xml:space="preserve">DPO advice sought, and what it said</t>
  </si>
  <si>
    <t xml:space="preserve">DPO consulted on the draft; advised the reclassification of the step count and the upside-only rule. Both adopted.</t>
  </si>
  <si>
    <t xml:space="preserve">Art 35(2)</t>
  </si>
  <si>
    <t xml:space="preserve">Residual risk</t>
  </si>
  <si>
    <t xml:space="preserve">Does high risk remain after the measures?</t>
  </si>
  <si>
    <t xml:space="preserve">No residual risk rated High or Critical (see Risks sheet). Prior consultation with the regulator not triggered.</t>
  </si>
  <si>
    <t xml:space="preserve">Art 36</t>
  </si>
  <si>
    <t xml:space="preserve">Sign-off</t>
  </si>
  <si>
    <t xml:space="preserve">Who accepted the residual risk, and when</t>
  </si>
  <si>
    <t xml:space="preserve">Chief Underwriting Officer, with the DPO's advice recorded above.</t>
  </si>
  <si>
    <t xml:space="preserve">-</t>
  </si>
  <si>
    <t xml:space="preserve">Review</t>
  </si>
  <si>
    <t xml:space="preserve">What re-opens this assessment</t>
  </si>
  <si>
    <t xml:space="preserve">Any retrain; any new data source; a change in who the model is used on; a complaint pattern; any indicator crossing its threshold; annual review as a backstop.</t>
  </si>
  <si>
    <t xml:space="preserve">Art 35(11)</t>
  </si>
  <si>
    <t xml:space="preserve">Fundamental rights impact assessment for UW-1 as deployed in the EU, structured on Article 27(1).</t>
  </si>
  <si>
    <t xml:space="preserve">Element</t>
  </si>
  <si>
    <t xml:space="preserve">Worked example: UW-1 (EU use)</t>
  </si>
  <si>
    <t xml:space="preserve">Cross-reference to the DPIA (Art 27(4))</t>
  </si>
  <si>
    <t xml:space="preserve">(a) Processes</t>
  </si>
  <si>
    <t xml:space="preserve">The deployer's processes the system is used in</t>
  </si>
  <si>
    <t xml:space="preserve">New-business underwriting for individual health and life cover sold by the Irish subsidiary.</t>
  </si>
  <si>
    <t xml:space="preserve">DPIA rows (a) Description, (a) Purposes</t>
  </si>
  <si>
    <t xml:space="preserve">Art 27(1)(a)</t>
  </si>
  <si>
    <t xml:space="preserve">(b) Period and frequency</t>
  </si>
  <si>
    <t xml:space="preserve">When, and how often, it is used</t>
  </si>
  <si>
    <t xml:space="preserve">Every application, continuously; about 1,200 EU applications a month. Re-run at renewal only if the customer asks for a re-quote.</t>
  </si>
  <si>
    <t xml:space="preserve">Art 27(1)(b)</t>
  </si>
  <si>
    <t xml:space="preserve">(c) People affected</t>
  </si>
  <si>
    <t xml:space="preserve">Categories of people and groups likely to be affected</t>
  </si>
  <si>
    <t xml:space="preserve">EU applicants and named dependants; groups with a higher share of disability or chronic illness; older applicants; applicants without a wearable.</t>
  </si>
  <si>
    <t xml:space="preserve">DPIA row (a) People</t>
  </si>
  <si>
    <t xml:space="preserve">Art 27(1)(c)</t>
  </si>
  <si>
    <t xml:space="preserve">(d) Specific risks of harm</t>
  </si>
  <si>
    <t xml:space="preserve">Risks to those people, using the provider's information</t>
  </si>
  <si>
    <t xml:space="preserve">R2 indirect discrimination through activity data; R3 decisions without human review; R4 a GP report matched to the wrong applicant; R5 drift after retrain; R9 health information leaking through the model itself. Provider information: the model card and instructions for use (the insurer is its own provider).</t>
  </si>
  <si>
    <t xml:space="preserve">Risks sheet R2-R5, R9</t>
  </si>
  <si>
    <t xml:space="preserve">Art 27(1)(d)</t>
  </si>
  <si>
    <t xml:space="preserve">(e) Human oversight</t>
  </si>
  <si>
    <t xml:space="preserve">How oversight is implemented, per the instructions for use</t>
  </si>
  <si>
    <t xml:space="preserve">Underwriter review of every decline and every loading before the customer is told; authority to overturn; weekly sample review of accepts.</t>
  </si>
  <si>
    <t xml:space="preserve">DPIA row (d) Measures</t>
  </si>
  <si>
    <t xml:space="preserve">Art 27(1)(e)</t>
  </si>
  <si>
    <t xml:space="preserve">(f) If risks materialise</t>
  </si>
  <si>
    <t xml:space="preserve">Measures, internal governance and complaints</t>
  </si>
  <si>
    <t xml:space="preserve">Complaint route in every decision letter; re-underwriting by a person on request; suspend the model if an indicator crosses its threshold; incident reported to the AI governance committee.</t>
  </si>
  <si>
    <t xml:space="preserve">Risks sheet, measures column</t>
  </si>
  <si>
    <t xml:space="preserve">Art 27(1)(f)</t>
  </si>
  <si>
    <t xml:space="preserve">Notification</t>
  </si>
  <si>
    <t xml:space="preserve">Results notified to the market surveillance authority</t>
  </si>
  <si>
    <t xml:space="preserve">Before first use after 2 December 2027, using the AI Office template once published.</t>
  </si>
  <si>
    <t xml:space="preserve">Art 27(3), (5)</t>
  </si>
  <si>
    <t xml:space="preserve">Update</t>
  </si>
  <si>
    <t xml:space="preserve">When the assessment is updated</t>
  </si>
  <si>
    <t xml:space="preserve">Whenever any element above changes or is out of date, at minimum on every retrain.</t>
  </si>
  <si>
    <t xml:space="preserve">Art 27(2)</t>
  </si>
  <si>
    <t xml:space="preserve">Risks</t>
  </si>
  <si>
    <t xml:space="preserve">One row per risk to people. Rate before (D, E) and after the measure (J, K); score and band are calculated.</t>
  </si>
  <si>
    <t xml:space="preserve">Risk ID</t>
  </si>
  <si>
    <t xml:space="preserve">Who is harmed</t>
  </si>
  <si>
    <t xml:space="preserve">If ... then ... (the risk as a statement)</t>
  </si>
  <si>
    <t xml:space="preserve">Score</t>
  </si>
  <si>
    <t xml:space="preserve">Measure</t>
  </si>
  <si>
    <t xml:space="preserve">Owner</t>
  </si>
  <si>
    <t xml:space="preserve">Residual severity (1-4)</t>
  </si>
  <si>
    <t xml:space="preserve">Residual likelihood (1-4)</t>
  </si>
  <si>
    <t xml:space="preserve">Residual score</t>
  </si>
  <si>
    <t xml:space="preserve">Residual band</t>
  </si>
  <si>
    <t xml:space="preserve">Status</t>
  </si>
  <si>
    <t xml:space="preserve">Assessment</t>
  </si>
  <si>
    <t xml:space="preserve">Risk register ID</t>
  </si>
  <si>
    <t xml:space="preserve">R1</t>
  </si>
  <si>
    <t xml:space="preserve">Wellness-programme members</t>
  </si>
  <si>
    <t xml:space="preserve">If the step count is treated as lifestyle data, then health data is processed without the right condition and without the member's informed choice</t>
  </si>
  <si>
    <t xml:space="preserve">Reclassify as health data; separate explicit consent outside the application; purpose limited to discounts</t>
  </si>
  <si>
    <t xml:space="preserve">Data Protection Officer</t>
  </si>
  <si>
    <t xml:space="preserve">closed</t>
  </si>
  <si>
    <t xml:space="preserve">RR-UW-01</t>
  </si>
  <si>
    <t xml:space="preserve">R2</t>
  </si>
  <si>
    <t xml:space="preserve">Applicants with a disability or chronic illness</t>
  </si>
  <si>
    <t xml:space="preserve">If low activity raises premiums or triggers declines, then people who cannot walk much pay more or lose cover for a reason unrelated to insurable risk</t>
  </si>
  <si>
    <t xml:space="preserve">Step count upside-only: it can lower a premium, never raise it or decline; fairness test by group before each release</t>
  </si>
  <si>
    <t xml:space="preserve">Both</t>
  </si>
  <si>
    <t xml:space="preserve">RR-UW-02</t>
  </si>
  <si>
    <t xml:space="preserve">R3</t>
  </si>
  <si>
    <t xml:space="preserve">All applicants</t>
  </si>
  <si>
    <t xml:space="preserve">If declines and loadings go out without human review, then people receive significant decisions no one checked and cannot easily contest</t>
  </si>
  <si>
    <t xml:space="preserve">Underwriter review of every decline and every loading before the customer is told, so no adverse decision on health data is solely automated (UK GDPR Art 22B); explanation and challenge route in each letter</t>
  </si>
  <si>
    <t xml:space="preserve">Head of Underwriting Operations</t>
  </si>
  <si>
    <t xml:space="preserve">mitigating</t>
  </si>
  <si>
    <t xml:space="preserve">RR-UW-03</t>
  </si>
  <si>
    <t xml:space="preserve">R4</t>
  </si>
  <si>
    <t xml:space="preserve">Applicants whose GP report is requested</t>
  </si>
  <si>
    <t xml:space="preserve">If a GP report is matched to the wrong applicant, then the model loads or declines on someone else's medical history</t>
  </si>
  <si>
    <t xml:space="preserve">Identity check on every GP report received; the applicant is told what evidence was used and can correct it before a decision</t>
  </si>
  <si>
    <t xml:space="preserve">Head of Data</t>
  </si>
  <si>
    <t xml:space="preserve">RR-UW-04</t>
  </si>
  <si>
    <t xml:space="preserve">R5</t>
  </si>
  <si>
    <t xml:space="preserve">If a retrain shifts prices for one group, then the change reaches customers unnoticed</t>
  </si>
  <si>
    <t xml:space="preserve">Group-level price monitoring; retrain re-opens both assessments</t>
  </si>
  <si>
    <t xml:space="preserve">Model Risk Manager</t>
  </si>
  <si>
    <t xml:space="preserve">open</t>
  </si>
  <si>
    <t xml:space="preserve">RR-UW-05</t>
  </si>
  <si>
    <t xml:space="preserve">R6</t>
  </si>
  <si>
    <t xml:space="preserve">If applicants are not told AI is used or how to challenge, then they cannot exercise their rights</t>
  </si>
  <si>
    <t xml:space="preserve">Notice at application; explanation on request; route to a person</t>
  </si>
  <si>
    <t xml:space="preserve">RR-UW-06</t>
  </si>
  <si>
    <t xml:space="preserve">R7</t>
  </si>
  <si>
    <t xml:space="preserve">If raw wearable data is kept indefinitely, then far more health detail is held than the purpose needs</t>
  </si>
  <si>
    <t xml:space="preserve">Monthly average only; raw data deleted after 90 days</t>
  </si>
  <si>
    <t xml:space="preserve">RR-UW-07</t>
  </si>
  <si>
    <t xml:space="preserve">R8</t>
  </si>
  <si>
    <t xml:space="preserve">If the underwriting data store is breached, then medical histories are exposed</t>
  </si>
  <si>
    <t xml:space="preserve">Encryption at rest and in transit; role-based access; pseudonymised training data</t>
  </si>
  <si>
    <t xml:space="preserve">Chief Information Security Officer</t>
  </si>
  <si>
    <t xml:space="preserve">RR-UW-08</t>
  </si>
  <si>
    <t xml:space="preserve">R9</t>
  </si>
  <si>
    <t xml:space="preserve">Applicants and customers whose records trained the model</t>
  </si>
  <si>
    <t xml:space="preserve">If the model can be queried in a way that reveals whether a person's records were in its training data (a membership-inference attack), then that person's health information leaks without any system being breached</t>
  </si>
  <si>
    <t xml:space="preserve">Model not exposed outside the underwriting platform; only the decision is returned, never scores or confidence values; query rate limits; membership-inference test before each release</t>
  </si>
  <si>
    <t xml:space="preserve">Head of Data Science</t>
  </si>
  <si>
    <t xml:space="preserve">RR-UW-09</t>
  </si>
  <si>
    <t xml:space="preserve">Screening Template</t>
  </si>
  <si>
    <t xml:space="preserve">DPIA Template</t>
  </si>
  <si>
    <t xml:space="preserve">Blank DPIA. Fill the yellow cells. Delete the Finding row if it does not apply.</t>
  </si>
  <si>
    <t xml:space="preserve">Your answer</t>
  </si>
  <si>
    <t xml:space="preserve">FRIA Template</t>
  </si>
  <si>
    <t xml:space="preserve">Blank FRIA. Fill the yellow cells; point to the DPIA wherever it already covers an element.</t>
  </si>
  <si>
    <t xml:space="preserve">Risks Template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</si>
</sst>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9"/>
      <color rgb="FF666666"/>
      <name val="Arial"/>
      <family val="0"/>
      <charset val="1"/>
    </font>
    <font>
      <b val="true"/>
      <sz val="11"/>
      <color rgb="FF1F4E79"/>
      <name val="Arial"/>
      <family val="0"/>
      <charset val="1"/>
    </font>
    <font>
      <sz val="10"/>
      <name val="Arial"/>
      <family val="0"/>
      <charset val="1"/>
    </font>
    <font>
      <b val="true"/>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FFF2CC"/>
        <bgColor rgb="FFFFFFFF"/>
      </patternFill>
    </fill>
    <fill>
      <patternFill patternType="solid">
        <fgColor rgb="FFE06666"/>
        <bgColor rgb="FFFF6600"/>
      </patternFill>
    </fill>
    <fill>
      <patternFill patternType="solid">
        <fgColor rgb="FFF6B26B"/>
        <bgColor rgb="FFF4CCCC"/>
      </patternFill>
    </fill>
    <fill>
      <patternFill patternType="solid">
        <fgColor rgb="FFFFE599"/>
        <bgColor rgb="FFFFF2CC"/>
      </patternFill>
    </fill>
    <fill>
      <patternFill patternType="solid">
        <fgColor rgb="FFB6D7A8"/>
        <bgColor rgb="FFBFBFBF"/>
      </patternFill>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CCCC"/>
        </patternFill>
      </fill>
    </dxf>
    <dxf>
      <fill>
        <patternFill>
          <bgColor rgb="FFD9EAD3"/>
        </patternFill>
      </fill>
    </dxf>
    <dxf>
      <fill>
        <patternFill>
          <bgColor rgb="FFE06666"/>
        </patternFill>
      </fill>
    </dxf>
    <dxf>
      <fill>
        <patternFill>
          <bgColor rgb="FFF6B26B"/>
        </patternFill>
      </fill>
    </dxf>
    <dxf>
      <fill>
        <patternFill>
          <bgColor rgb="FFFFE599"/>
        </patternFill>
      </fill>
    </dxf>
    <dxf>
      <fill>
        <patternFill>
          <bgColor rgb="FFB6D7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E06666"/>
      <rgbColor rgb="FF0066CC"/>
      <rgbColor rgb="FFB6D7A8"/>
      <rgbColor rgb="FF000080"/>
      <rgbColor rgb="FFFF00FF"/>
      <rgbColor rgb="FFFFFF00"/>
      <rgbColor rgb="FF00FFFF"/>
      <rgbColor rgb="FF800080"/>
      <rgbColor rgb="FF800000"/>
      <rgbColor rgb="FF008080"/>
      <rgbColor rgb="FF0000FF"/>
      <rgbColor rgb="FF00CCFF"/>
      <rgbColor rgb="FFCCFFFF"/>
      <rgbColor rgb="FFD9EAD3"/>
      <rgbColor rgb="FFFFE599"/>
      <rgbColor rgb="FF99CCFF"/>
      <rgbColor rgb="FFF6B26B"/>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2" hidden="false" customHeight="true" outlineLevel="0" collapsed="false">
      <c r="B6" s="4" t="s">
        <v>3</v>
      </c>
      <c r="C6" s="4"/>
    </row>
    <row r="8" customFormat="false" ht="15" hidden="false" customHeight="false" outlineLevel="0" collapsed="false">
      <c r="B8" s="3" t="s">
        <v>4</v>
      </c>
    </row>
    <row r="9" customFormat="false" ht="99.75" hidden="false" customHeight="true" outlineLevel="0" collapsed="false">
      <c r="B9" s="5" t="s">
        <v>5</v>
      </c>
      <c r="C9" s="6" t="s">
        <v>6</v>
      </c>
    </row>
    <row r="10" customFormat="false" ht="114.75" hidden="false" customHeight="true" outlineLevel="0" collapsed="false">
      <c r="B10" s="5" t="s">
        <v>7</v>
      </c>
      <c r="C10" s="6" t="s">
        <v>8</v>
      </c>
    </row>
    <row r="12" customFormat="false" ht="15" hidden="false" customHeight="false" outlineLevel="0" collapsed="false">
      <c r="B12" s="3" t="s">
        <v>9</v>
      </c>
    </row>
    <row r="13" customFormat="false" ht="31.5" hidden="false" customHeight="true" outlineLevel="0" collapsed="false">
      <c r="B13" s="5" t="s">
        <v>10</v>
      </c>
      <c r="C13" s="6" t="s">
        <v>11</v>
      </c>
    </row>
    <row r="14" customFormat="false" ht="31.5" hidden="false" customHeight="true" outlineLevel="0" collapsed="false">
      <c r="B14" s="5" t="s">
        <v>12</v>
      </c>
      <c r="C14" s="6" t="s">
        <v>13</v>
      </c>
    </row>
    <row r="15" customFormat="false" ht="45" hidden="false" customHeight="true" outlineLevel="0" collapsed="false">
      <c r="B15" s="5" t="s">
        <v>14</v>
      </c>
      <c r="C15" s="6" t="s">
        <v>15</v>
      </c>
    </row>
    <row r="16" customFormat="false" ht="69.75" hidden="false" customHeight="true" outlineLevel="0" collapsed="false">
      <c r="B16" s="5" t="s">
        <v>16</v>
      </c>
      <c r="C16" s="6" t="s">
        <v>17</v>
      </c>
    </row>
    <row r="18" customFormat="false" ht="15" hidden="false" customHeight="false" outlineLevel="0" collapsed="false">
      <c r="B18" s="3" t="s">
        <v>18</v>
      </c>
    </row>
    <row r="19" customFormat="false" ht="45" hidden="false" customHeight="true" outlineLevel="0" collapsed="false">
      <c r="B19" s="5" t="s">
        <v>19</v>
      </c>
      <c r="C19" s="6" t="s">
        <v>20</v>
      </c>
    </row>
    <row r="20" customFormat="false" ht="57.75" hidden="false" customHeight="true" outlineLevel="0" collapsed="false">
      <c r="B20" s="5" t="s">
        <v>21</v>
      </c>
      <c r="C20" s="6" t="s">
        <v>22</v>
      </c>
    </row>
    <row r="21" customFormat="false" ht="45" hidden="false" customHeight="true" outlineLevel="0" collapsed="false">
      <c r="B21" s="5" t="s">
        <v>23</v>
      </c>
      <c r="C21" s="6" t="s">
        <v>24</v>
      </c>
    </row>
    <row r="23" customFormat="false" ht="15" hidden="false" customHeight="false" outlineLevel="0" collapsed="false">
      <c r="B23" s="3" t="s">
        <v>25</v>
      </c>
    </row>
    <row r="24" customFormat="false" ht="31.5" hidden="false" customHeight="true" outlineLevel="0" collapsed="false">
      <c r="B24" s="5" t="s">
        <v>26</v>
      </c>
      <c r="C24" s="6" t="s">
        <v>27</v>
      </c>
    </row>
    <row r="25" customFormat="false" ht="31.5" hidden="false" customHeight="true" outlineLevel="0" collapsed="false">
      <c r="B25" s="5" t="s">
        <v>28</v>
      </c>
      <c r="C25" s="6" t="s">
        <v>29</v>
      </c>
    </row>
    <row r="26" customFormat="false" ht="31.5" hidden="false" customHeight="true" outlineLevel="0" collapsed="false">
      <c r="B26" s="5" t="s">
        <v>30</v>
      </c>
      <c r="C26" s="6" t="s">
        <v>31</v>
      </c>
    </row>
    <row r="27" customFormat="false" ht="31.5" hidden="false" customHeight="true" outlineLevel="0" collapsed="false">
      <c r="B27" s="5" t="s">
        <v>32</v>
      </c>
      <c r="C27" s="6" t="s">
        <v>33</v>
      </c>
    </row>
    <row r="28" customFormat="false" ht="31.5" hidden="false" customHeight="true" outlineLevel="0" collapsed="false">
      <c r="B28" s="5" t="s">
        <v>34</v>
      </c>
      <c r="C28" s="6" t="s">
        <v>35</v>
      </c>
    </row>
    <row r="30" customFormat="false" ht="15" hidden="false" customHeight="false" outlineLevel="0" collapsed="false">
      <c r="B30" s="3" t="s">
        <v>36</v>
      </c>
    </row>
    <row r="31" customFormat="false" ht="45" hidden="false" customHeight="true" outlineLevel="0" collapsed="false">
      <c r="B31" s="5" t="s">
        <v>37</v>
      </c>
      <c r="C31" s="6" t="s">
        <v>38</v>
      </c>
    </row>
    <row r="32" customFormat="false" ht="45" hidden="false" customHeight="true" outlineLevel="0" collapsed="false">
      <c r="B32" s="5" t="s">
        <v>39</v>
      </c>
      <c r="C32" s="6" t="s">
        <v>40</v>
      </c>
    </row>
    <row r="33" customFormat="false" ht="45" hidden="false" customHeight="true" outlineLevel="0" collapsed="false">
      <c r="B33" s="5" t="s">
        <v>41</v>
      </c>
      <c r="C33" s="6" t="s">
        <v>42</v>
      </c>
    </row>
    <row r="35" customFormat="false" ht="15" hidden="false" customHeight="false" outlineLevel="0" collapsed="false">
      <c r="B35" s="3" t="s">
        <v>43</v>
      </c>
    </row>
    <row r="36" customFormat="false" ht="15" hidden="false" customHeight="false" outlineLevel="0" collapsed="false">
      <c r="B36" s="7" t="s">
        <v>44</v>
      </c>
      <c r="C36" s="8" t="s">
        <v>45</v>
      </c>
    </row>
    <row r="37" customFormat="false" ht="15" hidden="false" customHeight="false" outlineLevel="0" collapsed="false">
      <c r="B37" s="9" t="s">
        <v>46</v>
      </c>
      <c r="C37" s="8" t="s">
        <v>47</v>
      </c>
    </row>
    <row r="38" customFormat="false" ht="15" hidden="false" customHeight="false" outlineLevel="0" collapsed="false">
      <c r="B38" s="10" t="s">
        <v>48</v>
      </c>
      <c r="C38" s="8" t="s">
        <v>47</v>
      </c>
    </row>
    <row r="39" customFormat="false" ht="15" hidden="false" customHeight="false" outlineLevel="0" collapsed="false">
      <c r="B39" s="11" t="s">
        <v>49</v>
      </c>
      <c r="C39" s="8" t="s">
        <v>47</v>
      </c>
    </row>
    <row r="40" customFormat="false" ht="15" hidden="false" customHeight="false" outlineLevel="0" collapsed="false">
      <c r="B40" s="12" t="s">
        <v>50</v>
      </c>
      <c r="C40" s="8" t="s">
        <v>47</v>
      </c>
    </row>
    <row r="42" customFormat="false" ht="15" hidden="false" customHeight="false" outlineLevel="0" collapsed="false">
      <c r="B42" s="3" t="s">
        <v>51</v>
      </c>
    </row>
    <row r="43" customFormat="false" ht="69.75" hidden="false" customHeight="true" outlineLevel="0" collapsed="false">
      <c r="B43" s="4" t="s">
        <v>52</v>
      </c>
      <c r="C43" s="4"/>
    </row>
    <row r="45" customFormat="false" ht="15" hidden="false" customHeight="false" outlineLevel="0" collapsed="false">
      <c r="B45" s="3" t="s">
        <v>53</v>
      </c>
    </row>
    <row r="46" customFormat="false" ht="31.5" hidden="false" customHeight="true" outlineLevel="0" collapsed="false">
      <c r="B46" s="5" t="s">
        <v>54</v>
      </c>
      <c r="C46" s="6" t="s">
        <v>55</v>
      </c>
    </row>
    <row r="47" customFormat="false" ht="31.5" hidden="false" customHeight="true" outlineLevel="0" collapsed="false">
      <c r="B47" s="5" t="s">
        <v>56</v>
      </c>
      <c r="C47" s="6" t="s">
        <v>57</v>
      </c>
    </row>
    <row r="48" customFormat="false" ht="31.5" hidden="false" customHeight="true" outlineLevel="0" collapsed="false">
      <c r="B48" s="5" t="s">
        <v>58</v>
      </c>
      <c r="C48" s="6" t="s">
        <v>59</v>
      </c>
    </row>
    <row r="50" customFormat="false" ht="30" hidden="false" customHeight="true" outlineLevel="0" collapsed="false">
      <c r="B50" s="13" t="s">
        <v>60</v>
      </c>
      <c r="C50" s="13"/>
    </row>
  </sheetData>
  <mergeCells count="3">
    <mergeCell ref="B6:C6"/>
    <mergeCell ref="B43:C43"/>
    <mergeCell ref="B50:C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5" min="3" style="0" width="14"/>
  </cols>
  <sheetData>
    <row r="2" customFormat="false" ht="19.7" hidden="false" customHeight="false" outlineLevel="0" collapsed="false">
      <c r="B2" s="1" t="s">
        <v>61</v>
      </c>
    </row>
    <row r="3" customFormat="false" ht="15" hidden="false" customHeight="false" outlineLevel="0" collapsed="false">
      <c r="B3" s="2" t="s">
        <v>62</v>
      </c>
    </row>
    <row r="5" customFormat="false" ht="15" hidden="false" customHeight="false" outlineLevel="0" collapsed="false">
      <c r="B5" s="3" t="s">
        <v>63</v>
      </c>
    </row>
    <row r="6" customFormat="false" ht="15" hidden="false" customHeight="false" outlineLevel="0" collapsed="false">
      <c r="B6" s="14" t="s">
        <v>64</v>
      </c>
      <c r="C6" s="14" t="s">
        <v>65</v>
      </c>
      <c r="D6" s="14" t="s">
        <v>66</v>
      </c>
    </row>
    <row r="7" customFormat="false" ht="15" hidden="false" customHeight="false" outlineLevel="0" collapsed="false">
      <c r="B7" s="5" t="s">
        <v>67</v>
      </c>
      <c r="C7" s="15" t="n">
        <f aca="false">COUNTIF(Screening!$K$4:$K$100,"Required*")</f>
        <v>2</v>
      </c>
      <c r="D7" s="15" t="n">
        <f aca="false">COUNTIF(Screening!$L$4:$L$100,"Required*")</f>
        <v>1</v>
      </c>
    </row>
    <row r="8" customFormat="false" ht="15" hidden="false" customHeight="false" outlineLevel="0" collapsed="false">
      <c r="B8" s="5" t="s">
        <v>68</v>
      </c>
      <c r="C8" s="15" t="n">
        <f aca="false">COUNTIF(Screening!$K$4:$K$100,"Not required*")</f>
        <v>2</v>
      </c>
      <c r="D8" s="15" t="n">
        <f aca="false">COUNTIF(Screening!$L$4:$L$100,"Not required*")</f>
        <v>3</v>
      </c>
    </row>
    <row r="9" customFormat="false" ht="15" hidden="false" customHeight="false" outlineLevel="0" collapsed="false">
      <c r="B9" s="5" t="s">
        <v>69</v>
      </c>
      <c r="C9" s="15" t="n">
        <f aca="false">COUNTA(Screening!$A$4:$A$100)</f>
        <v>4</v>
      </c>
    </row>
    <row r="11" customFormat="false" ht="15" hidden="false" customHeight="false" outlineLevel="0" collapsed="false">
      <c r="B11" s="3" t="s">
        <v>70</v>
      </c>
    </row>
    <row r="12" customFormat="false" ht="15" hidden="false" customHeight="false" outlineLevel="0" collapsed="false">
      <c r="B12" s="14" t="s">
        <v>71</v>
      </c>
      <c r="C12" s="14" t="s">
        <v>72</v>
      </c>
      <c r="D12" s="14" t="s">
        <v>73</v>
      </c>
    </row>
    <row r="13" customFormat="false" ht="15" hidden="false" customHeight="false" outlineLevel="0" collapsed="false">
      <c r="B13" s="16" t="s">
        <v>46</v>
      </c>
      <c r="C13" s="15" t="n">
        <f aca="false">COUNTIF(Risks!$G$4:$G$100,B13)</f>
        <v>2</v>
      </c>
      <c r="D13" s="15" t="n">
        <f aca="false">COUNTIF(Risks!$M$4:$M$100,B13)</f>
        <v>0</v>
      </c>
    </row>
    <row r="14" customFormat="false" ht="15" hidden="false" customHeight="false" outlineLevel="0" collapsed="false">
      <c r="B14" s="17" t="s">
        <v>48</v>
      </c>
      <c r="C14" s="15" t="n">
        <f aca="false">COUNTIF(Risks!$G$4:$G$100,B14)</f>
        <v>2</v>
      </c>
      <c r="D14" s="15" t="n">
        <f aca="false">COUNTIF(Risks!$M$4:$M$100,B14)</f>
        <v>0</v>
      </c>
    </row>
    <row r="15" customFormat="false" ht="15" hidden="false" customHeight="false" outlineLevel="0" collapsed="false">
      <c r="B15" s="18" t="s">
        <v>49</v>
      </c>
      <c r="C15" s="15" t="n">
        <f aca="false">COUNTIF(Risks!$G$4:$G$100,B15)</f>
        <v>5</v>
      </c>
      <c r="D15" s="15" t="n">
        <f aca="false">COUNTIF(Risks!$M$4:$M$100,B15)</f>
        <v>1</v>
      </c>
    </row>
    <row r="16" customFormat="false" ht="15" hidden="false" customHeight="false" outlineLevel="0" collapsed="false">
      <c r="B16" s="19" t="s">
        <v>50</v>
      </c>
      <c r="C16" s="15" t="n">
        <f aca="false">COUNTIF(Risks!$G$4:$G$100,B16)</f>
        <v>0</v>
      </c>
      <c r="D16" s="15" t="n">
        <f aca="false">COUNTIF(Risks!$M$4:$M$100,B16)</f>
        <v>8</v>
      </c>
    </row>
    <row r="17" customFormat="false" ht="15" hidden="false" customHeight="false" outlineLevel="0" collapsed="false">
      <c r="B17" s="5" t="s">
        <v>74</v>
      </c>
      <c r="C17" s="20" t="n">
        <f aca="false">SUM(C13:C16)</f>
        <v>9</v>
      </c>
      <c r="D17" s="20" t="n">
        <f aca="false">SUM(D13:D16)</f>
        <v>9</v>
      </c>
    </row>
    <row r="19" customFormat="false" ht="15" hidden="false" customHeight="false" outlineLevel="0" collapsed="false">
      <c r="B19" s="5" t="s">
        <v>75</v>
      </c>
      <c r="C19" s="15" t="n">
        <f aca="false">COUNTIF(Risks!$N$4:$N$100,"open")+COUNTIF(Risks!$N$4:$N$100,"mitigating")</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2"/>
    <col collapsed="false" customWidth="true" hidden="false" outlineLevel="0" max="4" min="4" style="0" width="22"/>
    <col collapsed="false" customWidth="true" hidden="false" outlineLevel="0" max="6" min="5" style="0" width="18"/>
    <col collapsed="false" customWidth="true" hidden="false" outlineLevel="0" max="7" min="7" style="0" width="16"/>
    <col collapsed="false" customWidth="true" hidden="false" outlineLevel="0" max="8" min="8" style="0" width="10"/>
    <col collapsed="false" customWidth="true" hidden="false" outlineLevel="0" max="9" min="9" style="0" width="16"/>
    <col collapsed="false" customWidth="true" hidden="false" outlineLevel="0" max="12" min="10" style="0" width="26"/>
    <col collapsed="false" customWidth="true" hidden="false" outlineLevel="0" max="13" min="13" style="0" width="50"/>
    <col collapsed="false" customWidth="true" hidden="false" outlineLevel="0" max="14" min="14" style="0" width="22"/>
  </cols>
  <sheetData>
    <row r="1" customFormat="false" ht="19.7" hidden="false" customHeight="false" outlineLevel="0" collapsed="false">
      <c r="A1" s="1" t="s">
        <v>63</v>
      </c>
    </row>
    <row r="2" customFormat="false" ht="15" hidden="false" customHeight="false" outlineLevel="0" collapsed="false">
      <c r="A2" s="2" t="s">
        <v>76</v>
      </c>
    </row>
    <row r="3" customFormat="false" ht="45" hidden="false" customHeight="true" outlineLevel="0" collapsed="false">
      <c r="A3" s="14" t="s">
        <v>77</v>
      </c>
      <c r="B3" s="14" t="s">
        <v>78</v>
      </c>
      <c r="C3" s="14" t="s">
        <v>79</v>
      </c>
      <c r="D3" s="14" t="s">
        <v>80</v>
      </c>
      <c r="E3" s="14" t="s">
        <v>81</v>
      </c>
      <c r="F3" s="14" t="s">
        <v>82</v>
      </c>
      <c r="G3" s="14" t="s">
        <v>83</v>
      </c>
      <c r="H3" s="14" t="s">
        <v>84</v>
      </c>
      <c r="I3" s="14" t="s">
        <v>85</v>
      </c>
      <c r="J3" s="14" t="s">
        <v>86</v>
      </c>
      <c r="K3" s="14" t="s">
        <v>65</v>
      </c>
      <c r="L3" s="14" t="s">
        <v>66</v>
      </c>
      <c r="M3" s="14" t="s">
        <v>87</v>
      </c>
      <c r="N3" s="14" t="s">
        <v>88</v>
      </c>
    </row>
    <row r="4" customFormat="false" ht="60" hidden="false" customHeight="true" outlineLevel="0" collapsed="false">
      <c r="A4" s="6" t="s">
        <v>89</v>
      </c>
      <c r="B4" s="6" t="s">
        <v>90</v>
      </c>
      <c r="C4" s="21" t="s">
        <v>91</v>
      </c>
      <c r="D4" s="21" t="s">
        <v>91</v>
      </c>
      <c r="E4" s="21" t="s">
        <v>91</v>
      </c>
      <c r="F4" s="21" t="s">
        <v>92</v>
      </c>
      <c r="G4" s="21" t="s">
        <v>91</v>
      </c>
      <c r="H4" s="21" t="s">
        <v>91</v>
      </c>
      <c r="I4" s="21" t="s">
        <v>91</v>
      </c>
      <c r="J4" s="6" t="s">
        <v>93</v>
      </c>
      <c r="K4" s="5" t="str">
        <f aca="false">IF(C4="","",IF(C4="No","Not required: no personal data",IF(OR(D4="Yes",E4="Yes",F4="Yes",G4="Yes"),"Required: before processing","Not required: record the reason")))</f>
        <v>Required: before processing</v>
      </c>
      <c r="L4" s="5" t="str">
        <f aca="false">IF(H4="","",IF(AND(H4="Yes",I4="Yes",J4&lt;&gt;"",J4&lt;&gt;"None of these"),"Required: before first use, from 2 Dec 2027","Not required: record the reason"))</f>
        <v>Required: before first use, from 2 Dec 2027</v>
      </c>
      <c r="M4" s="6" t="s">
        <v>94</v>
      </c>
      <c r="N4" s="6" t="s">
        <v>95</v>
      </c>
    </row>
    <row r="5" customFormat="false" ht="60" hidden="false" customHeight="true" outlineLevel="0" collapsed="false">
      <c r="A5" s="6" t="s">
        <v>96</v>
      </c>
      <c r="B5" s="6" t="s">
        <v>97</v>
      </c>
      <c r="C5" s="21" t="s">
        <v>91</v>
      </c>
      <c r="D5" s="21" t="s">
        <v>91</v>
      </c>
      <c r="E5" s="21" t="s">
        <v>91</v>
      </c>
      <c r="F5" s="21" t="s">
        <v>92</v>
      </c>
      <c r="G5" s="21" t="s">
        <v>91</v>
      </c>
      <c r="H5" s="21" t="s">
        <v>91</v>
      </c>
      <c r="I5" s="21" t="s">
        <v>92</v>
      </c>
      <c r="J5" s="6" t="s">
        <v>98</v>
      </c>
      <c r="K5" s="5" t="str">
        <f aca="false">IF(C5="","",IF(C5="No","Not required: no personal data",IF(OR(D5="Yes",E5="Yes",F5="Yes",G5="Yes"),"Required: before processing","Not required: record the reason")))</f>
        <v>Required: before processing</v>
      </c>
      <c r="L5" s="5" t="str">
        <f aca="false">IF(H5="","",IF(AND(H5="Yes",I5="Yes",J5&lt;&gt;"",J5&lt;&gt;"None of these"),"Required: before first use, from 2 Dec 2027","Not required: record the reason"))</f>
        <v>Not required: record the reason</v>
      </c>
      <c r="M5" s="6" t="s">
        <v>99</v>
      </c>
      <c r="N5" s="6" t="s">
        <v>100</v>
      </c>
    </row>
    <row r="6" customFormat="false" ht="60" hidden="false" customHeight="true" outlineLevel="0" collapsed="false">
      <c r="A6" s="6" t="s">
        <v>101</v>
      </c>
      <c r="B6" s="6" t="s">
        <v>102</v>
      </c>
      <c r="C6" s="21" t="s">
        <v>91</v>
      </c>
      <c r="D6" s="21" t="s">
        <v>92</v>
      </c>
      <c r="E6" s="21" t="s">
        <v>92</v>
      </c>
      <c r="F6" s="21" t="s">
        <v>92</v>
      </c>
      <c r="G6" s="21" t="s">
        <v>92</v>
      </c>
      <c r="H6" s="21" t="s">
        <v>91</v>
      </c>
      <c r="I6" s="21" t="s">
        <v>92</v>
      </c>
      <c r="J6" s="6" t="s">
        <v>98</v>
      </c>
      <c r="K6" s="5" t="str">
        <f aca="false">IF(C6="","",IF(C6="No","Not required: no personal data",IF(OR(D6="Yes",E6="Yes",F6="Yes",G6="Yes"),"Required: before processing","Not required: record the reason")))</f>
        <v>Not required: record the reason</v>
      </c>
      <c r="L6" s="5" t="str">
        <f aca="false">IF(H6="","",IF(AND(H6="Yes",I6="Yes",J6&lt;&gt;"",J6&lt;&gt;"None of these"),"Required: before first use, from 2 Dec 2027","Not required: record the reason"))</f>
        <v>Not required: record the reason</v>
      </c>
      <c r="M6" s="6" t="s">
        <v>103</v>
      </c>
      <c r="N6" s="6" t="s">
        <v>104</v>
      </c>
    </row>
    <row r="7" customFormat="false" ht="60" hidden="false" customHeight="true" outlineLevel="0" collapsed="false">
      <c r="A7" s="6" t="s">
        <v>105</v>
      </c>
      <c r="B7" s="6" t="s">
        <v>106</v>
      </c>
      <c r="C7" s="21" t="s">
        <v>91</v>
      </c>
      <c r="D7" s="21" t="s">
        <v>92</v>
      </c>
      <c r="E7" s="21" t="s">
        <v>92</v>
      </c>
      <c r="F7" s="21" t="s">
        <v>92</v>
      </c>
      <c r="G7" s="21" t="s">
        <v>92</v>
      </c>
      <c r="H7" s="21" t="s">
        <v>91</v>
      </c>
      <c r="I7" s="21" t="s">
        <v>92</v>
      </c>
      <c r="J7" s="6" t="s">
        <v>98</v>
      </c>
      <c r="K7" s="5" t="str">
        <f aca="false">IF(C7="","",IF(C7="No","Not required: no personal data",IF(OR(D7="Yes",E7="Yes",F7="Yes",G7="Yes"),"Required: before processing","Not required: record the reason")))</f>
        <v>Not required: record the reason</v>
      </c>
      <c r="L7" s="5" t="str">
        <f aca="false">IF(H7="","",IF(AND(H7="Yes",I7="Yes",J7&lt;&gt;"",J7&lt;&gt;"None of these"),"Required: before first use, from 2 Dec 2027","Not required: record the reason"))</f>
        <v>Not required: record the reason</v>
      </c>
      <c r="M7" s="6" t="s">
        <v>107</v>
      </c>
      <c r="N7" s="6" t="s">
        <v>108</v>
      </c>
    </row>
  </sheetData>
  <conditionalFormatting sqref="K4:K7">
    <cfRule type="expression" priority="2" aboveAverage="0" equalAverage="0" bottom="0" percent="0" rank="0" text="" dxfId="0">
      <formula>LEFT(K4,8)="Required"</formula>
    </cfRule>
    <cfRule type="expression" priority="3" aboveAverage="0" equalAverage="0" bottom="0" percent="0" rank="0" text="" dxfId="1">
      <formula>LEFT(K4,3)="Not"</formula>
    </cfRule>
  </conditionalFormatting>
  <conditionalFormatting sqref="L4:L7">
    <cfRule type="expression" priority="4" aboveAverage="0" equalAverage="0" bottom="0" percent="0" rank="0" text="" dxfId="0">
      <formula>LEFT(L4,8)="Required"</formula>
    </cfRule>
    <cfRule type="expression" priority="5" aboveAverage="0" equalAverage="0" bottom="0" percent="0" rank="0" text="" dxfId="1">
      <formula>LEFT(L4,3)="Not"</formula>
    </cfRule>
  </conditionalFormatting>
  <dataValidations count="2">
    <dataValidation allowBlank="true" errorStyle="stop" operator="between" showDropDown="false" showErrorMessage="false" showInputMessage="false" sqref="C4:I7" type="list">
      <formula1>"Yes,No"</formula1>
      <formula2>0</formula2>
    </dataValidation>
    <dataValidation allowBlank="true" errorStyle="stop" operator="between" showDropDown="false" showErrorMessage="false" showInputMessage="false" sqref="J4:J7" type="list">
      <formula1>"Public body,Private entity providing public services,Credit scoring (Annex III 5(b)),Life or health insurance (Annex III 5(c)),None of these"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90"/>
    <col collapsed="false" customWidth="true" hidden="false" outlineLevel="0" max="4" min="4" style="0" width="12"/>
  </cols>
  <sheetData>
    <row r="1" customFormat="false" ht="19.7" hidden="false" customHeight="false" outlineLevel="0" collapsed="false">
      <c r="A1" s="1" t="s">
        <v>65</v>
      </c>
    </row>
    <row r="2" customFormat="false" ht="15" hidden="false" customHeight="false" outlineLevel="0" collapsed="false">
      <c r="A2" s="2" t="s">
        <v>109</v>
      </c>
    </row>
    <row r="3" customFormat="false" ht="45" hidden="false" customHeight="true" outlineLevel="0" collapsed="false">
      <c r="A3" s="14" t="s">
        <v>110</v>
      </c>
      <c r="B3" s="14" t="s">
        <v>111</v>
      </c>
      <c r="C3" s="14" t="s">
        <v>112</v>
      </c>
      <c r="D3" s="14" t="s">
        <v>113</v>
      </c>
    </row>
    <row r="4" customFormat="false" ht="45" hidden="false" customHeight="true" outlineLevel="0" collapsed="false">
      <c r="A4" s="5" t="s">
        <v>114</v>
      </c>
      <c r="B4" s="6" t="s">
        <v>115</v>
      </c>
      <c r="C4" s="6" t="s">
        <v>116</v>
      </c>
      <c r="D4" s="6" t="s">
        <v>117</v>
      </c>
    </row>
    <row r="5" customFormat="false" ht="90" hidden="false" customHeight="true" outlineLevel="0" collapsed="false">
      <c r="A5" s="5" t="s">
        <v>118</v>
      </c>
      <c r="B5" s="6" t="s">
        <v>119</v>
      </c>
      <c r="C5" s="6" t="s">
        <v>120</v>
      </c>
      <c r="D5" s="6" t="s">
        <v>121</v>
      </c>
    </row>
    <row r="6" customFormat="false" ht="45" hidden="false" customHeight="true" outlineLevel="0" collapsed="false">
      <c r="A6" s="5" t="s">
        <v>122</v>
      </c>
      <c r="B6" s="6" t="s">
        <v>123</v>
      </c>
      <c r="C6" s="6" t="s">
        <v>124</v>
      </c>
      <c r="D6" s="6" t="s">
        <v>121</v>
      </c>
    </row>
    <row r="7" customFormat="false" ht="60" hidden="false" customHeight="true" outlineLevel="0" collapsed="false">
      <c r="A7" s="5" t="s">
        <v>125</v>
      </c>
      <c r="B7" s="6" t="s">
        <v>126</v>
      </c>
      <c r="C7" s="6" t="s">
        <v>127</v>
      </c>
      <c r="D7" s="6" t="s">
        <v>121</v>
      </c>
    </row>
    <row r="8" customFormat="false" ht="45" hidden="false" customHeight="true" outlineLevel="0" collapsed="false">
      <c r="A8" s="5" t="s">
        <v>128</v>
      </c>
      <c r="B8" s="6" t="s">
        <v>129</v>
      </c>
      <c r="C8" s="6" t="s">
        <v>130</v>
      </c>
      <c r="D8" s="6" t="s">
        <v>121</v>
      </c>
    </row>
    <row r="9" customFormat="false" ht="75" hidden="false" customHeight="true" outlineLevel="0" collapsed="false">
      <c r="A9" s="5" t="s">
        <v>131</v>
      </c>
      <c r="B9" s="6" t="s">
        <v>132</v>
      </c>
      <c r="C9" s="6" t="s">
        <v>133</v>
      </c>
      <c r="D9" s="6" t="s">
        <v>134</v>
      </c>
    </row>
    <row r="10" customFormat="false" ht="60" hidden="false" customHeight="true" outlineLevel="0" collapsed="false">
      <c r="A10" s="5" t="s">
        <v>135</v>
      </c>
      <c r="B10" s="6" t="s">
        <v>136</v>
      </c>
      <c r="C10" s="6" t="s">
        <v>137</v>
      </c>
      <c r="D10" s="6" t="s">
        <v>134</v>
      </c>
    </row>
    <row r="11" customFormat="false" ht="60" hidden="false" customHeight="true" outlineLevel="0" collapsed="false">
      <c r="A11" s="5" t="s">
        <v>138</v>
      </c>
      <c r="B11" s="6" t="s">
        <v>139</v>
      </c>
      <c r="C11" s="6" t="s">
        <v>140</v>
      </c>
      <c r="D11" s="6" t="s">
        <v>141</v>
      </c>
    </row>
    <row r="12" customFormat="false" ht="75" hidden="false" customHeight="true" outlineLevel="0" collapsed="false">
      <c r="A12" s="5" t="s">
        <v>142</v>
      </c>
      <c r="B12" s="6" t="s">
        <v>143</v>
      </c>
      <c r="C12" s="6" t="s">
        <v>144</v>
      </c>
      <c r="D12" s="6" t="s">
        <v>145</v>
      </c>
    </row>
    <row r="13" customFormat="false" ht="30" hidden="false" customHeight="true" outlineLevel="0" collapsed="false">
      <c r="A13" s="5" t="s">
        <v>146</v>
      </c>
      <c r="B13" s="6" t="s">
        <v>147</v>
      </c>
      <c r="C13" s="6" t="s">
        <v>148</v>
      </c>
      <c r="D13" s="6" t="s">
        <v>149</v>
      </c>
    </row>
    <row r="14" customFormat="false" ht="75" hidden="false" customHeight="true" outlineLevel="0" collapsed="false">
      <c r="A14" s="5" t="s">
        <v>150</v>
      </c>
      <c r="B14" s="6" t="s">
        <v>151</v>
      </c>
      <c r="C14" s="6" t="s">
        <v>152</v>
      </c>
      <c r="D14" s="6" t="s">
        <v>153</v>
      </c>
    </row>
    <row r="15" customFormat="false" ht="90" hidden="false" customHeight="true" outlineLevel="0" collapsed="false">
      <c r="A15" s="5" t="s">
        <v>154</v>
      </c>
      <c r="B15" s="6" t="s">
        <v>155</v>
      </c>
      <c r="C15" s="6" t="s">
        <v>156</v>
      </c>
      <c r="D15" s="6" t="s">
        <v>157</v>
      </c>
    </row>
    <row r="16" customFormat="false" ht="45" hidden="false" customHeight="true" outlineLevel="0" collapsed="false">
      <c r="A16" s="5" t="s">
        <v>158</v>
      </c>
      <c r="B16" s="6" t="s">
        <v>159</v>
      </c>
      <c r="C16" s="6" t="s">
        <v>160</v>
      </c>
      <c r="D16" s="6" t="s">
        <v>161</v>
      </c>
    </row>
    <row r="17" customFormat="false" ht="45" hidden="false" customHeight="true" outlineLevel="0" collapsed="false">
      <c r="A17" s="5" t="s">
        <v>162</v>
      </c>
      <c r="B17" s="6" t="s">
        <v>163</v>
      </c>
      <c r="C17" s="6" t="s">
        <v>164</v>
      </c>
      <c r="D17" s="6" t="s">
        <v>165</v>
      </c>
    </row>
    <row r="18" customFormat="false" ht="30" hidden="false" customHeight="true" outlineLevel="0" collapsed="false">
      <c r="A18" s="5" t="s">
        <v>166</v>
      </c>
      <c r="B18" s="6" t="s">
        <v>167</v>
      </c>
      <c r="C18" s="6" t="s">
        <v>168</v>
      </c>
      <c r="D18" s="6" t="s">
        <v>169</v>
      </c>
    </row>
    <row r="19" customFormat="false" ht="60" hidden="false" customHeight="true" outlineLevel="0" collapsed="false">
      <c r="A19" s="5" t="s">
        <v>170</v>
      </c>
      <c r="B19" s="6" t="s">
        <v>171</v>
      </c>
      <c r="C19" s="6" t="s">
        <v>172</v>
      </c>
      <c r="D19" s="6"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80"/>
    <col collapsed="false" customWidth="true" hidden="false" outlineLevel="0" max="4" min="4" style="0" width="28"/>
    <col collapsed="false" customWidth="true" hidden="false" outlineLevel="0" max="5" min="5" style="0" width="13"/>
  </cols>
  <sheetData>
    <row r="1" customFormat="false" ht="19.7" hidden="false" customHeight="false" outlineLevel="0" collapsed="false">
      <c r="A1" s="1" t="s">
        <v>66</v>
      </c>
    </row>
    <row r="2" customFormat="false" ht="15" hidden="false" customHeight="false" outlineLevel="0" collapsed="false">
      <c r="A2" s="2" t="s">
        <v>174</v>
      </c>
    </row>
    <row r="3" customFormat="false" ht="45" hidden="false" customHeight="true" outlineLevel="0" collapsed="false">
      <c r="A3" s="14" t="s">
        <v>175</v>
      </c>
      <c r="B3" s="14" t="s">
        <v>111</v>
      </c>
      <c r="C3" s="14" t="s">
        <v>176</v>
      </c>
      <c r="D3" s="14" t="s">
        <v>177</v>
      </c>
      <c r="E3" s="14" t="s">
        <v>113</v>
      </c>
    </row>
    <row r="4" customFormat="false" ht="45" hidden="false" customHeight="true" outlineLevel="0" collapsed="false">
      <c r="A4" s="5" t="s">
        <v>178</v>
      </c>
      <c r="B4" s="6" t="s">
        <v>179</v>
      </c>
      <c r="C4" s="6" t="s">
        <v>180</v>
      </c>
      <c r="D4" s="6" t="s">
        <v>181</v>
      </c>
      <c r="E4" s="6" t="s">
        <v>182</v>
      </c>
    </row>
    <row r="5" customFormat="false" ht="45" hidden="false" customHeight="true" outlineLevel="0" collapsed="false">
      <c r="A5" s="5" t="s">
        <v>183</v>
      </c>
      <c r="B5" s="6" t="s">
        <v>184</v>
      </c>
      <c r="C5" s="6" t="s">
        <v>185</v>
      </c>
      <c r="D5" s="6" t="s">
        <v>169</v>
      </c>
      <c r="E5" s="6" t="s">
        <v>186</v>
      </c>
    </row>
    <row r="6" customFormat="false" ht="60" hidden="false" customHeight="true" outlineLevel="0" collapsed="false">
      <c r="A6" s="5" t="s">
        <v>187</v>
      </c>
      <c r="B6" s="6" t="s">
        <v>188</v>
      </c>
      <c r="C6" s="6" t="s">
        <v>189</v>
      </c>
      <c r="D6" s="6" t="s">
        <v>190</v>
      </c>
      <c r="E6" s="6" t="s">
        <v>191</v>
      </c>
    </row>
    <row r="7" customFormat="false" ht="90" hidden="false" customHeight="true" outlineLevel="0" collapsed="false">
      <c r="A7" s="5" t="s">
        <v>192</v>
      </c>
      <c r="B7" s="6" t="s">
        <v>193</v>
      </c>
      <c r="C7" s="6" t="s">
        <v>194</v>
      </c>
      <c r="D7" s="6" t="s">
        <v>195</v>
      </c>
      <c r="E7" s="6" t="s">
        <v>196</v>
      </c>
    </row>
    <row r="8" customFormat="false" ht="45" hidden="false" customHeight="true" outlineLevel="0" collapsed="false">
      <c r="A8" s="5" t="s">
        <v>197</v>
      </c>
      <c r="B8" s="6" t="s">
        <v>198</v>
      </c>
      <c r="C8" s="6" t="s">
        <v>199</v>
      </c>
      <c r="D8" s="6" t="s">
        <v>200</v>
      </c>
      <c r="E8" s="6" t="s">
        <v>201</v>
      </c>
    </row>
    <row r="9" customFormat="false" ht="60" hidden="false" customHeight="true" outlineLevel="0" collapsed="false">
      <c r="A9" s="5" t="s">
        <v>202</v>
      </c>
      <c r="B9" s="6" t="s">
        <v>203</v>
      </c>
      <c r="C9" s="6" t="s">
        <v>204</v>
      </c>
      <c r="D9" s="6" t="s">
        <v>205</v>
      </c>
      <c r="E9" s="6" t="s">
        <v>206</v>
      </c>
    </row>
    <row r="10" customFormat="false" ht="45" hidden="false" customHeight="true" outlineLevel="0" collapsed="false">
      <c r="A10" s="5" t="s">
        <v>207</v>
      </c>
      <c r="B10" s="6" t="s">
        <v>208</v>
      </c>
      <c r="C10" s="6" t="s">
        <v>209</v>
      </c>
      <c r="D10" s="6" t="s">
        <v>169</v>
      </c>
      <c r="E10" s="6" t="s">
        <v>210</v>
      </c>
    </row>
    <row r="11" customFormat="false" ht="45" hidden="false" customHeight="true" outlineLevel="0" collapsed="false">
      <c r="A11" s="5" t="s">
        <v>211</v>
      </c>
      <c r="B11" s="6" t="s">
        <v>212</v>
      </c>
      <c r="C11" s="6" t="s">
        <v>213</v>
      </c>
      <c r="D11" s="6" t="s">
        <v>169</v>
      </c>
      <c r="E11" s="6"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2"/>
    <col collapsed="false" customWidth="true" hidden="false" outlineLevel="0" max="5" min="4" style="0" width="11"/>
    <col collapsed="false" customWidth="true" hidden="false" outlineLevel="0" max="6" min="6" style="0" width="8"/>
    <col collapsed="false" customWidth="true" hidden="false" outlineLevel="0" max="7" min="7" style="0" width="11"/>
    <col collapsed="false" customWidth="true" hidden="false" outlineLevel="0" max="8" min="8" style="0" width="52"/>
    <col collapsed="false" customWidth="true" hidden="false" outlineLevel="0" max="9" min="9" style="0" width="22"/>
    <col collapsed="false" customWidth="true" hidden="false" outlineLevel="0" max="11" min="10" style="0" width="11"/>
    <col collapsed="false" customWidth="true" hidden="false" outlineLevel="0" max="12" min="12" style="0" width="9"/>
    <col collapsed="false" customWidth="true" hidden="false" outlineLevel="0" max="13" min="13" style="0" width="11"/>
    <col collapsed="false" customWidth="true" hidden="false" outlineLevel="0" max="14" min="14" style="0" width="12"/>
    <col collapsed="false" customWidth="true" hidden="false" outlineLevel="0" max="15" min="15" style="0" width="11"/>
    <col collapsed="false" customWidth="true" hidden="false" outlineLevel="0" max="16" min="16" style="0" width="14"/>
  </cols>
  <sheetData>
    <row r="1" customFormat="false" ht="19.7" hidden="false" customHeight="false" outlineLevel="0" collapsed="false">
      <c r="A1" s="1" t="s">
        <v>215</v>
      </c>
    </row>
    <row r="2" customFormat="false" ht="15" hidden="false" customHeight="false" outlineLevel="0" collapsed="false">
      <c r="A2" s="2" t="s">
        <v>216</v>
      </c>
    </row>
    <row r="3" customFormat="false" ht="45" hidden="false" customHeight="true" outlineLevel="0" collapsed="false">
      <c r="A3" s="14" t="s">
        <v>217</v>
      </c>
      <c r="B3" s="14" t="s">
        <v>218</v>
      </c>
      <c r="C3" s="14" t="s">
        <v>219</v>
      </c>
      <c r="D3" s="14" t="s">
        <v>37</v>
      </c>
      <c r="E3" s="14" t="s">
        <v>39</v>
      </c>
      <c r="F3" s="14" t="s">
        <v>220</v>
      </c>
      <c r="G3" s="14" t="s">
        <v>71</v>
      </c>
      <c r="H3" s="14" t="s">
        <v>221</v>
      </c>
      <c r="I3" s="14" t="s">
        <v>222</v>
      </c>
      <c r="J3" s="14" t="s">
        <v>223</v>
      </c>
      <c r="K3" s="14" t="s">
        <v>224</v>
      </c>
      <c r="L3" s="14" t="s">
        <v>225</v>
      </c>
      <c r="M3" s="14" t="s">
        <v>226</v>
      </c>
      <c r="N3" s="14" t="s">
        <v>227</v>
      </c>
      <c r="O3" s="14" t="s">
        <v>228</v>
      </c>
      <c r="P3" s="14" t="s">
        <v>229</v>
      </c>
    </row>
    <row r="4" customFormat="false" ht="57.75" hidden="false" customHeight="true" outlineLevel="0" collapsed="false">
      <c r="A4" s="6" t="s">
        <v>230</v>
      </c>
      <c r="B4" s="6" t="s">
        <v>231</v>
      </c>
      <c r="C4" s="6" t="s">
        <v>232</v>
      </c>
      <c r="D4" s="21" t="n">
        <v>3</v>
      </c>
      <c r="E4" s="21" t="n">
        <v>3</v>
      </c>
      <c r="F4" s="15" t="n">
        <f aca="false">IF(OR(D4="",E4=""),"",D4*E4)</f>
        <v>9</v>
      </c>
      <c r="G4" s="22" t="str">
        <f aca="false">IF(F4="","",IF(F4&gt;=12,"Critical",IF(F4&gt;=8,"High",IF(F4&gt;=4,"Medium","Low"))))</f>
        <v>High</v>
      </c>
      <c r="H4" s="6" t="s">
        <v>233</v>
      </c>
      <c r="I4" s="6" t="s">
        <v>234</v>
      </c>
      <c r="J4" s="21" t="n">
        <v>3</v>
      </c>
      <c r="K4" s="21" t="n">
        <v>1</v>
      </c>
      <c r="L4" s="15" t="n">
        <f aca="false">IF(OR(J4="",K4=""),"",J4*K4)</f>
        <v>3</v>
      </c>
      <c r="M4" s="22" t="str">
        <f aca="false">IF(L4="","",IF(L4&gt;=12,"Critical",IF(L4&gt;=8,"High",IF(L4&gt;=4,"Medium","Low"))))</f>
        <v>Low</v>
      </c>
      <c r="N4" s="21" t="s">
        <v>235</v>
      </c>
      <c r="O4" s="21" t="s">
        <v>65</v>
      </c>
      <c r="P4" s="15" t="s">
        <v>236</v>
      </c>
    </row>
    <row r="5" customFormat="false" ht="57.75" hidden="false" customHeight="true" outlineLevel="0" collapsed="false">
      <c r="A5" s="6" t="s">
        <v>237</v>
      </c>
      <c r="B5" s="6" t="s">
        <v>238</v>
      </c>
      <c r="C5" s="6" t="s">
        <v>239</v>
      </c>
      <c r="D5" s="21" t="n">
        <v>4</v>
      </c>
      <c r="E5" s="21" t="n">
        <v>3</v>
      </c>
      <c r="F5" s="15" t="n">
        <f aca="false">IF(OR(D5="",E5=""),"",D5*E5)</f>
        <v>12</v>
      </c>
      <c r="G5" s="22" t="str">
        <f aca="false">IF(F5="","",IF(F5&gt;=12,"Critical",IF(F5&gt;=8,"High",IF(F5&gt;=4,"Medium","Low"))))</f>
        <v>Critical</v>
      </c>
      <c r="H5" s="6" t="s">
        <v>240</v>
      </c>
      <c r="I5" s="6" t="s">
        <v>95</v>
      </c>
      <c r="J5" s="21" t="n">
        <v>2</v>
      </c>
      <c r="K5" s="21" t="n">
        <v>1</v>
      </c>
      <c r="L5" s="15" t="n">
        <f aca="false">IF(OR(J5="",K5=""),"",J5*K5)</f>
        <v>2</v>
      </c>
      <c r="M5" s="22" t="str">
        <f aca="false">IF(L5="","",IF(L5&gt;=12,"Critical",IF(L5&gt;=8,"High",IF(L5&gt;=4,"Medium","Low"))))</f>
        <v>Low</v>
      </c>
      <c r="N5" s="21" t="s">
        <v>235</v>
      </c>
      <c r="O5" s="21" t="s">
        <v>241</v>
      </c>
      <c r="P5" s="15" t="s">
        <v>242</v>
      </c>
    </row>
    <row r="6" customFormat="false" ht="57.75" hidden="false" customHeight="true" outlineLevel="0" collapsed="false">
      <c r="A6" s="6" t="s">
        <v>243</v>
      </c>
      <c r="B6" s="6" t="s">
        <v>244</v>
      </c>
      <c r="C6" s="6" t="s">
        <v>245</v>
      </c>
      <c r="D6" s="21" t="n">
        <v>4</v>
      </c>
      <c r="E6" s="21" t="n">
        <v>3</v>
      </c>
      <c r="F6" s="15" t="n">
        <f aca="false">IF(OR(D6="",E6=""),"",D6*E6)</f>
        <v>12</v>
      </c>
      <c r="G6" s="22" t="str">
        <f aca="false">IF(F6="","",IF(F6&gt;=12,"Critical",IF(F6&gt;=8,"High",IF(F6&gt;=4,"Medium","Low"))))</f>
        <v>Critical</v>
      </c>
      <c r="H6" s="6" t="s">
        <v>246</v>
      </c>
      <c r="I6" s="6" t="s">
        <v>247</v>
      </c>
      <c r="J6" s="21" t="n">
        <v>3</v>
      </c>
      <c r="K6" s="21" t="n">
        <v>1</v>
      </c>
      <c r="L6" s="15" t="n">
        <f aca="false">IF(OR(J6="",K6=""),"",J6*K6)</f>
        <v>3</v>
      </c>
      <c r="M6" s="22" t="str">
        <f aca="false">IF(L6="","",IF(L6&gt;=12,"Critical",IF(L6&gt;=8,"High",IF(L6&gt;=4,"Medium","Low"))))</f>
        <v>Low</v>
      </c>
      <c r="N6" s="21" t="s">
        <v>248</v>
      </c>
      <c r="O6" s="21" t="s">
        <v>241</v>
      </c>
      <c r="P6" s="15" t="s">
        <v>249</v>
      </c>
    </row>
    <row r="7" customFormat="false" ht="57.75" hidden="false" customHeight="true" outlineLevel="0" collapsed="false">
      <c r="A7" s="6" t="s">
        <v>250</v>
      </c>
      <c r="B7" s="6" t="s">
        <v>251</v>
      </c>
      <c r="C7" s="6" t="s">
        <v>252</v>
      </c>
      <c r="D7" s="21" t="n">
        <v>3</v>
      </c>
      <c r="E7" s="21" t="n">
        <v>2</v>
      </c>
      <c r="F7" s="15" t="n">
        <f aca="false">IF(OR(D7="",E7=""),"",D7*E7)</f>
        <v>6</v>
      </c>
      <c r="G7" s="22" t="str">
        <f aca="false">IF(F7="","",IF(F7&gt;=12,"Critical",IF(F7&gt;=8,"High",IF(F7&gt;=4,"Medium","Low"))))</f>
        <v>Medium</v>
      </c>
      <c r="H7" s="6" t="s">
        <v>253</v>
      </c>
      <c r="I7" s="6" t="s">
        <v>254</v>
      </c>
      <c r="J7" s="21" t="n">
        <v>3</v>
      </c>
      <c r="K7" s="21" t="n">
        <v>1</v>
      </c>
      <c r="L7" s="15" t="n">
        <f aca="false">IF(OR(J7="",K7=""),"",J7*K7)</f>
        <v>3</v>
      </c>
      <c r="M7" s="22" t="str">
        <f aca="false">IF(L7="","",IF(L7&gt;=12,"Critical",IF(L7&gt;=8,"High",IF(L7&gt;=4,"Medium","Low"))))</f>
        <v>Low</v>
      </c>
      <c r="N7" s="21" t="s">
        <v>248</v>
      </c>
      <c r="O7" s="21" t="s">
        <v>241</v>
      </c>
      <c r="P7" s="15" t="s">
        <v>255</v>
      </c>
    </row>
    <row r="8" customFormat="false" ht="57.75" hidden="false" customHeight="true" outlineLevel="0" collapsed="false">
      <c r="A8" s="6" t="s">
        <v>256</v>
      </c>
      <c r="B8" s="6" t="s">
        <v>244</v>
      </c>
      <c r="C8" s="6" t="s">
        <v>257</v>
      </c>
      <c r="D8" s="21" t="n">
        <v>3</v>
      </c>
      <c r="E8" s="21" t="n">
        <v>2</v>
      </c>
      <c r="F8" s="15" t="n">
        <f aca="false">IF(OR(D8="",E8=""),"",D8*E8)</f>
        <v>6</v>
      </c>
      <c r="G8" s="22" t="str">
        <f aca="false">IF(F8="","",IF(F8&gt;=12,"Critical",IF(F8&gt;=8,"High",IF(F8&gt;=4,"Medium","Low"))))</f>
        <v>Medium</v>
      </c>
      <c r="H8" s="6" t="s">
        <v>258</v>
      </c>
      <c r="I8" s="6" t="s">
        <v>259</v>
      </c>
      <c r="J8" s="21" t="n">
        <v>3</v>
      </c>
      <c r="K8" s="21" t="n">
        <v>1</v>
      </c>
      <c r="L8" s="15" t="n">
        <f aca="false">IF(OR(J8="",K8=""),"",J8*K8)</f>
        <v>3</v>
      </c>
      <c r="M8" s="22" t="str">
        <f aca="false">IF(L8="","",IF(L8&gt;=12,"Critical",IF(L8&gt;=8,"High",IF(L8&gt;=4,"Medium","Low"))))</f>
        <v>Low</v>
      </c>
      <c r="N8" s="21" t="s">
        <v>260</v>
      </c>
      <c r="O8" s="21" t="s">
        <v>241</v>
      </c>
      <c r="P8" s="15" t="s">
        <v>261</v>
      </c>
    </row>
    <row r="9" customFormat="false" ht="57.75" hidden="false" customHeight="true" outlineLevel="0" collapsed="false">
      <c r="A9" s="6" t="s">
        <v>262</v>
      </c>
      <c r="B9" s="6" t="s">
        <v>244</v>
      </c>
      <c r="C9" s="6" t="s">
        <v>263</v>
      </c>
      <c r="D9" s="21" t="n">
        <v>2</v>
      </c>
      <c r="E9" s="21" t="n">
        <v>3</v>
      </c>
      <c r="F9" s="15" t="n">
        <f aca="false">IF(OR(D9="",E9=""),"",D9*E9)</f>
        <v>6</v>
      </c>
      <c r="G9" s="22" t="str">
        <f aca="false">IF(F9="","",IF(F9&gt;=12,"Critical",IF(F9&gt;=8,"High",IF(F9&gt;=4,"Medium","Low"))))</f>
        <v>Medium</v>
      </c>
      <c r="H9" s="6" t="s">
        <v>264</v>
      </c>
      <c r="I9" s="6" t="s">
        <v>104</v>
      </c>
      <c r="J9" s="21" t="n">
        <v>2</v>
      </c>
      <c r="K9" s="21" t="n">
        <v>1</v>
      </c>
      <c r="L9" s="15" t="n">
        <f aca="false">IF(OR(J9="",K9=""),"",J9*K9)</f>
        <v>2</v>
      </c>
      <c r="M9" s="22" t="str">
        <f aca="false">IF(L9="","",IF(L9&gt;=12,"Critical",IF(L9&gt;=8,"High",IF(L9&gt;=4,"Medium","Low"))))</f>
        <v>Low</v>
      </c>
      <c r="N9" s="21" t="s">
        <v>235</v>
      </c>
      <c r="O9" s="21" t="s">
        <v>65</v>
      </c>
      <c r="P9" s="15" t="s">
        <v>265</v>
      </c>
    </row>
    <row r="10" customFormat="false" ht="57.75" hidden="false" customHeight="true" outlineLevel="0" collapsed="false">
      <c r="A10" s="6" t="s">
        <v>266</v>
      </c>
      <c r="B10" s="6" t="s">
        <v>231</v>
      </c>
      <c r="C10" s="6" t="s">
        <v>267</v>
      </c>
      <c r="D10" s="21" t="n">
        <v>2</v>
      </c>
      <c r="E10" s="21" t="n">
        <v>3</v>
      </c>
      <c r="F10" s="15" t="n">
        <f aca="false">IF(OR(D10="",E10=""),"",D10*E10)</f>
        <v>6</v>
      </c>
      <c r="G10" s="22" t="str">
        <f aca="false">IF(F10="","",IF(F10&gt;=12,"Critical",IF(F10&gt;=8,"High",IF(F10&gt;=4,"Medium","Low"))))</f>
        <v>Medium</v>
      </c>
      <c r="H10" s="6" t="s">
        <v>268</v>
      </c>
      <c r="I10" s="6" t="s">
        <v>234</v>
      </c>
      <c r="J10" s="21" t="n">
        <v>2</v>
      </c>
      <c r="K10" s="21" t="n">
        <v>1</v>
      </c>
      <c r="L10" s="15" t="n">
        <f aca="false">IF(OR(J10="",K10=""),"",J10*K10)</f>
        <v>2</v>
      </c>
      <c r="M10" s="22" t="str">
        <f aca="false">IF(L10="","",IF(L10&gt;=12,"Critical",IF(L10&gt;=8,"High",IF(L10&gt;=4,"Medium","Low"))))</f>
        <v>Low</v>
      </c>
      <c r="N10" s="21" t="s">
        <v>235</v>
      </c>
      <c r="O10" s="21" t="s">
        <v>65</v>
      </c>
      <c r="P10" s="15" t="s">
        <v>269</v>
      </c>
    </row>
    <row r="11" customFormat="false" ht="57.75" hidden="false" customHeight="true" outlineLevel="0" collapsed="false">
      <c r="A11" s="6" t="s">
        <v>270</v>
      </c>
      <c r="B11" s="6" t="s">
        <v>244</v>
      </c>
      <c r="C11" s="6" t="s">
        <v>271</v>
      </c>
      <c r="D11" s="21" t="n">
        <v>4</v>
      </c>
      <c r="E11" s="21" t="n">
        <v>2</v>
      </c>
      <c r="F11" s="15" t="n">
        <f aca="false">IF(OR(D11="",E11=""),"",D11*E11)</f>
        <v>8</v>
      </c>
      <c r="G11" s="22" t="str">
        <f aca="false">IF(F11="","",IF(F11&gt;=12,"Critical",IF(F11&gt;=8,"High",IF(F11&gt;=4,"Medium","Low"))))</f>
        <v>High</v>
      </c>
      <c r="H11" s="6" t="s">
        <v>272</v>
      </c>
      <c r="I11" s="6" t="s">
        <v>273</v>
      </c>
      <c r="J11" s="21" t="n">
        <v>4</v>
      </c>
      <c r="K11" s="21" t="n">
        <v>1</v>
      </c>
      <c r="L11" s="15" t="n">
        <f aca="false">IF(OR(J11="",K11=""),"",J11*K11)</f>
        <v>4</v>
      </c>
      <c r="M11" s="22" t="str">
        <f aca="false">IF(L11="","",IF(L11&gt;=12,"Critical",IF(L11&gt;=8,"High",IF(L11&gt;=4,"Medium","Low"))))</f>
        <v>Medium</v>
      </c>
      <c r="N11" s="21" t="s">
        <v>248</v>
      </c>
      <c r="O11" s="21" t="s">
        <v>65</v>
      </c>
      <c r="P11" s="15" t="s">
        <v>274</v>
      </c>
    </row>
    <row r="12" customFormat="false" ht="57.75" hidden="false" customHeight="true" outlineLevel="0" collapsed="false">
      <c r="A12" s="6" t="s">
        <v>275</v>
      </c>
      <c r="B12" s="6" t="s">
        <v>276</v>
      </c>
      <c r="C12" s="6" t="s">
        <v>277</v>
      </c>
      <c r="D12" s="21" t="n">
        <v>3</v>
      </c>
      <c r="E12" s="21" t="n">
        <v>2</v>
      </c>
      <c r="F12" s="15" t="n">
        <f aca="false">IF(OR(D12="",E12=""),"",D12*E12)</f>
        <v>6</v>
      </c>
      <c r="G12" s="22" t="str">
        <f aca="false">IF(F12="","",IF(F12&gt;=12,"Critical",IF(F12&gt;=8,"High",IF(F12&gt;=4,"Medium","Low"))))</f>
        <v>Medium</v>
      </c>
      <c r="H12" s="6" t="s">
        <v>278</v>
      </c>
      <c r="I12" s="6" t="s">
        <v>279</v>
      </c>
      <c r="J12" s="21" t="n">
        <v>3</v>
      </c>
      <c r="K12" s="21" t="n">
        <v>1</v>
      </c>
      <c r="L12" s="15" t="n">
        <f aca="false">IF(OR(J12="",K12=""),"",J12*K12)</f>
        <v>3</v>
      </c>
      <c r="M12" s="22" t="str">
        <f aca="false">IF(L12="","",IF(L12&gt;=12,"Critical",IF(L12&gt;=8,"High",IF(L12&gt;=4,"Medium","Low"))))</f>
        <v>Low</v>
      </c>
      <c r="N12" s="21" t="s">
        <v>260</v>
      </c>
      <c r="O12" s="21" t="s">
        <v>241</v>
      </c>
      <c r="P12" s="15" t="s">
        <v>280</v>
      </c>
    </row>
  </sheetData>
  <conditionalFormatting sqref="G4:G12">
    <cfRule type="cellIs" priority="2" operator="equal" aboveAverage="0" equalAverage="0" bottom="0" percent="0" rank="0" text="" dxfId="2">
      <formula>"Critical"</formula>
    </cfRule>
    <cfRule type="cellIs" priority="3" operator="equal" aboveAverage="0" equalAverage="0" bottom="0" percent="0" rank="0" text="" dxfId="3">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conditionalFormatting sqref="M4:M12">
    <cfRule type="cellIs" priority="6" operator="equal" aboveAverage="0" equalAverage="0" bottom="0" percent="0" rank="0" text="" dxfId="2">
      <formula>"Critical"</formula>
    </cfRule>
    <cfRule type="cellIs" priority="7" operator="equal" aboveAverage="0" equalAverage="0" bottom="0" percent="0" rank="0" text="" dxfId="3">
      <formula>"High"</formula>
    </cfRule>
    <cfRule type="cellIs" priority="8" operator="equal" aboveAverage="0" equalAverage="0" bottom="0" percent="0" rank="0" text="" dxfId="4">
      <formula>"Medium"</formula>
    </cfRule>
    <cfRule type="cellIs" priority="9" operator="equal" aboveAverage="0" equalAverage="0" bottom="0" percent="0" rank="0" text="" dxfId="5">
      <formula>"Low"</formula>
    </cfRule>
  </conditionalFormatting>
  <dataValidations count="3">
    <dataValidation allowBlank="true" errorStyle="stop" operator="between" showDropDown="false" showErrorMessage="false" showInputMessage="false" sqref="D4:E12 J4:K12" type="whole">
      <formula1>1</formula1>
      <formula2>4</formula2>
    </dataValidation>
    <dataValidation allowBlank="true" errorStyle="stop" operator="between" showDropDown="false" showErrorMessage="false" showInputMessage="false" sqref="N4:N12" type="list">
      <formula1>"open,mitigating,accepted,closed"</formula1>
      <formula2>0</formula2>
    </dataValidation>
    <dataValidation allowBlank="true" errorStyle="stop" operator="between" showDropDown="false" showErrorMessage="false" showInputMessage="false" sqref="O4:O12" type="list">
      <formula1>"DPIA,FRIA,Both"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2"/>
    <col collapsed="false" customWidth="true" hidden="false" outlineLevel="0" max="4" min="4" style="0" width="22"/>
    <col collapsed="false" customWidth="true" hidden="false" outlineLevel="0" max="6" min="5" style="0" width="18"/>
    <col collapsed="false" customWidth="true" hidden="false" outlineLevel="0" max="7" min="7" style="0" width="16"/>
    <col collapsed="false" customWidth="true" hidden="false" outlineLevel="0" max="8" min="8" style="0" width="10"/>
    <col collapsed="false" customWidth="true" hidden="false" outlineLevel="0" max="9" min="9" style="0" width="16"/>
    <col collapsed="false" customWidth="true" hidden="false" outlineLevel="0" max="12" min="10" style="0" width="26"/>
    <col collapsed="false" customWidth="true" hidden="false" outlineLevel="0" max="13" min="13" style="0" width="50"/>
    <col collapsed="false" customWidth="true" hidden="false" outlineLevel="0" max="14" min="14" style="0" width="22"/>
  </cols>
  <sheetData>
    <row r="1" customFormat="false" ht="19.7" hidden="false" customHeight="false" outlineLevel="0" collapsed="false">
      <c r="A1" s="1" t="s">
        <v>281</v>
      </c>
    </row>
    <row r="2" customFormat="false" ht="15" hidden="false" customHeight="false" outlineLevel="0" collapsed="false">
      <c r="A2" s="2" t="s">
        <v>76</v>
      </c>
    </row>
    <row r="3" customFormat="false" ht="45" hidden="false" customHeight="true" outlineLevel="0" collapsed="false">
      <c r="A3" s="14" t="s">
        <v>77</v>
      </c>
      <c r="B3" s="14" t="s">
        <v>78</v>
      </c>
      <c r="C3" s="14" t="s">
        <v>79</v>
      </c>
      <c r="D3" s="14" t="s">
        <v>80</v>
      </c>
      <c r="E3" s="14" t="s">
        <v>81</v>
      </c>
      <c r="F3" s="14" t="s">
        <v>82</v>
      </c>
      <c r="G3" s="14" t="s">
        <v>83</v>
      </c>
      <c r="H3" s="14" t="s">
        <v>84</v>
      </c>
      <c r="I3" s="14" t="s">
        <v>85</v>
      </c>
      <c r="J3" s="14" t="s">
        <v>86</v>
      </c>
      <c r="K3" s="14" t="s">
        <v>65</v>
      </c>
      <c r="L3" s="14" t="s">
        <v>66</v>
      </c>
      <c r="M3" s="14" t="s">
        <v>87</v>
      </c>
      <c r="N3" s="14" t="s">
        <v>88</v>
      </c>
    </row>
    <row r="4" customFormat="false" ht="19.5" hidden="false" customHeight="true" outlineLevel="0" collapsed="false">
      <c r="A4" s="23"/>
      <c r="B4" s="23"/>
      <c r="C4" s="24"/>
      <c r="D4" s="24"/>
      <c r="E4" s="24"/>
      <c r="F4" s="24"/>
      <c r="G4" s="24"/>
      <c r="H4" s="24"/>
      <c r="I4" s="24"/>
      <c r="J4" s="23"/>
      <c r="K4" s="5" t="str">
        <f aca="false">IF(C4="","",IF(C4="No","Not required: no personal data",IF(OR(D4="Yes",E4="Yes",F4="Yes",G4="Yes"),"Required: before processing","Not required: record the reason")))</f>
        <v/>
      </c>
      <c r="L4" s="5" t="str">
        <f aca="false">IF(H4="","",IF(AND(H4="Yes",I4="Yes",J4&lt;&gt;"",J4&lt;&gt;"None of these"),"Required: before first use, from 2 Dec 2027","Not required: record the reason"))</f>
        <v/>
      </c>
      <c r="M4" s="23"/>
      <c r="N4" s="23"/>
    </row>
    <row r="5" customFormat="false" ht="19.5" hidden="false" customHeight="true" outlineLevel="0" collapsed="false">
      <c r="A5" s="23"/>
      <c r="B5" s="23"/>
      <c r="C5" s="24"/>
      <c r="D5" s="24"/>
      <c r="E5" s="24"/>
      <c r="F5" s="24"/>
      <c r="G5" s="24"/>
      <c r="H5" s="24"/>
      <c r="I5" s="24"/>
      <c r="J5" s="23"/>
      <c r="K5" s="5" t="str">
        <f aca="false">IF(C5="","",IF(C5="No","Not required: no personal data",IF(OR(D5="Yes",E5="Yes",F5="Yes",G5="Yes"),"Required: before processing","Not required: record the reason")))</f>
        <v/>
      </c>
      <c r="L5" s="5" t="str">
        <f aca="false">IF(H5="","",IF(AND(H5="Yes",I5="Yes",J5&lt;&gt;"",J5&lt;&gt;"None of these"),"Required: before first use, from 2 Dec 2027","Not required: record the reason"))</f>
        <v/>
      </c>
      <c r="M5" s="23"/>
      <c r="N5" s="23"/>
    </row>
    <row r="6" customFormat="false" ht="19.5" hidden="false" customHeight="true" outlineLevel="0" collapsed="false">
      <c r="A6" s="23"/>
      <c r="B6" s="23"/>
      <c r="C6" s="24"/>
      <c r="D6" s="24"/>
      <c r="E6" s="24"/>
      <c r="F6" s="24"/>
      <c r="G6" s="24"/>
      <c r="H6" s="24"/>
      <c r="I6" s="24"/>
      <c r="J6" s="23"/>
      <c r="K6" s="5" t="str">
        <f aca="false">IF(C6="","",IF(C6="No","Not required: no personal data",IF(OR(D6="Yes",E6="Yes",F6="Yes",G6="Yes"),"Required: before processing","Not required: record the reason")))</f>
        <v/>
      </c>
      <c r="L6" s="5" t="str">
        <f aca="false">IF(H6="","",IF(AND(H6="Yes",I6="Yes",J6&lt;&gt;"",J6&lt;&gt;"None of these"),"Required: before first use, from 2 Dec 2027","Not required: record the reason"))</f>
        <v/>
      </c>
      <c r="M6" s="23"/>
      <c r="N6" s="23"/>
    </row>
    <row r="7" customFormat="false" ht="19.5" hidden="false" customHeight="true" outlineLevel="0" collapsed="false">
      <c r="A7" s="23"/>
      <c r="B7" s="23"/>
      <c r="C7" s="24"/>
      <c r="D7" s="24"/>
      <c r="E7" s="24"/>
      <c r="F7" s="24"/>
      <c r="G7" s="24"/>
      <c r="H7" s="24"/>
      <c r="I7" s="24"/>
      <c r="J7" s="23"/>
      <c r="K7" s="5" t="str">
        <f aca="false">IF(C7="","",IF(C7="No","Not required: no personal data",IF(OR(D7="Yes",E7="Yes",F7="Yes",G7="Yes"),"Required: before processing","Not required: record the reason")))</f>
        <v/>
      </c>
      <c r="L7" s="5" t="str">
        <f aca="false">IF(H7="","",IF(AND(H7="Yes",I7="Yes",J7&lt;&gt;"",J7&lt;&gt;"None of these"),"Required: before first use, from 2 Dec 2027","Not required: record the reason"))</f>
        <v/>
      </c>
      <c r="M7" s="23"/>
      <c r="N7" s="23"/>
    </row>
    <row r="8" customFormat="false" ht="19.5" hidden="false" customHeight="true" outlineLevel="0" collapsed="false">
      <c r="A8" s="23"/>
      <c r="B8" s="23"/>
      <c r="C8" s="24"/>
      <c r="D8" s="24"/>
      <c r="E8" s="24"/>
      <c r="F8" s="24"/>
      <c r="G8" s="24"/>
      <c r="H8" s="24"/>
      <c r="I8" s="24"/>
      <c r="J8" s="23"/>
      <c r="K8" s="5" t="str">
        <f aca="false">IF(C8="","",IF(C8="No","Not required: no personal data",IF(OR(D8="Yes",E8="Yes",F8="Yes",G8="Yes"),"Required: before processing","Not required: record the reason")))</f>
        <v/>
      </c>
      <c r="L8" s="5" t="str">
        <f aca="false">IF(H8="","",IF(AND(H8="Yes",I8="Yes",J8&lt;&gt;"",J8&lt;&gt;"None of these"),"Required: before first use, from 2 Dec 2027","Not required: record the reason"))</f>
        <v/>
      </c>
      <c r="M8" s="23"/>
      <c r="N8" s="23"/>
    </row>
    <row r="9" customFormat="false" ht="19.5" hidden="false" customHeight="true" outlineLevel="0" collapsed="false">
      <c r="A9" s="23"/>
      <c r="B9" s="23"/>
      <c r="C9" s="24"/>
      <c r="D9" s="24"/>
      <c r="E9" s="24"/>
      <c r="F9" s="24"/>
      <c r="G9" s="24"/>
      <c r="H9" s="24"/>
      <c r="I9" s="24"/>
      <c r="J9" s="23"/>
      <c r="K9" s="5" t="str">
        <f aca="false">IF(C9="","",IF(C9="No","Not required: no personal data",IF(OR(D9="Yes",E9="Yes",F9="Yes",G9="Yes"),"Required: before processing","Not required: record the reason")))</f>
        <v/>
      </c>
      <c r="L9" s="5" t="str">
        <f aca="false">IF(H9="","",IF(AND(H9="Yes",I9="Yes",J9&lt;&gt;"",J9&lt;&gt;"None of these"),"Required: before first use, from 2 Dec 2027","Not required: record the reason"))</f>
        <v/>
      </c>
      <c r="M9" s="23"/>
      <c r="N9" s="23"/>
    </row>
    <row r="10" customFormat="false" ht="19.5" hidden="false" customHeight="true" outlineLevel="0" collapsed="false">
      <c r="A10" s="23"/>
      <c r="B10" s="23"/>
      <c r="C10" s="24"/>
      <c r="D10" s="24"/>
      <c r="E10" s="24"/>
      <c r="F10" s="24"/>
      <c r="G10" s="24"/>
      <c r="H10" s="24"/>
      <c r="I10" s="24"/>
      <c r="J10" s="23"/>
      <c r="K10" s="5" t="str">
        <f aca="false">IF(C10="","",IF(C10="No","Not required: no personal data",IF(OR(D10="Yes",E10="Yes",F10="Yes",G10="Yes"),"Required: before processing","Not required: record the reason")))</f>
        <v/>
      </c>
      <c r="L10" s="5" t="str">
        <f aca="false">IF(H10="","",IF(AND(H10="Yes",I10="Yes",J10&lt;&gt;"",J10&lt;&gt;"None of these"),"Required: before first use, from 2 Dec 2027","Not required: record the reason"))</f>
        <v/>
      </c>
      <c r="M10" s="23"/>
      <c r="N10" s="23"/>
    </row>
    <row r="11" customFormat="false" ht="19.5" hidden="false" customHeight="true" outlineLevel="0" collapsed="false">
      <c r="A11" s="23"/>
      <c r="B11" s="23"/>
      <c r="C11" s="24"/>
      <c r="D11" s="24"/>
      <c r="E11" s="24"/>
      <c r="F11" s="24"/>
      <c r="G11" s="24"/>
      <c r="H11" s="24"/>
      <c r="I11" s="24"/>
      <c r="J11" s="23"/>
      <c r="K11" s="5" t="str">
        <f aca="false">IF(C11="","",IF(C11="No","Not required: no personal data",IF(OR(D11="Yes",E11="Yes",F11="Yes",G11="Yes"),"Required: before processing","Not required: record the reason")))</f>
        <v/>
      </c>
      <c r="L11" s="5" t="str">
        <f aca="false">IF(H11="","",IF(AND(H11="Yes",I11="Yes",J11&lt;&gt;"",J11&lt;&gt;"None of these"),"Required: before first use, from 2 Dec 2027","Not required: record the reason"))</f>
        <v/>
      </c>
      <c r="M11" s="23"/>
      <c r="N11" s="23"/>
    </row>
    <row r="12" customFormat="false" ht="19.5" hidden="false" customHeight="true" outlineLevel="0" collapsed="false">
      <c r="A12" s="23"/>
      <c r="B12" s="23"/>
      <c r="C12" s="24"/>
      <c r="D12" s="24"/>
      <c r="E12" s="24"/>
      <c r="F12" s="24"/>
      <c r="G12" s="24"/>
      <c r="H12" s="24"/>
      <c r="I12" s="24"/>
      <c r="J12" s="23"/>
      <c r="K12" s="5" t="str">
        <f aca="false">IF(C12="","",IF(C12="No","Not required: no personal data",IF(OR(D12="Yes",E12="Yes",F12="Yes",G12="Yes"),"Required: before processing","Not required: record the reason")))</f>
        <v/>
      </c>
      <c r="L12" s="5" t="str">
        <f aca="false">IF(H12="","",IF(AND(H12="Yes",I12="Yes",J12&lt;&gt;"",J12&lt;&gt;"None of these"),"Required: before first use, from 2 Dec 2027","Not required: record the reason"))</f>
        <v/>
      </c>
      <c r="M12" s="23"/>
      <c r="N12" s="23"/>
    </row>
    <row r="13" customFormat="false" ht="19.5" hidden="false" customHeight="true" outlineLevel="0" collapsed="false">
      <c r="A13" s="23"/>
      <c r="B13" s="23"/>
      <c r="C13" s="24"/>
      <c r="D13" s="24"/>
      <c r="E13" s="24"/>
      <c r="F13" s="24"/>
      <c r="G13" s="24"/>
      <c r="H13" s="24"/>
      <c r="I13" s="24"/>
      <c r="J13" s="23"/>
      <c r="K13" s="5" t="str">
        <f aca="false">IF(C13="","",IF(C13="No","Not required: no personal data",IF(OR(D13="Yes",E13="Yes",F13="Yes",G13="Yes"),"Required: before processing","Not required: record the reason")))</f>
        <v/>
      </c>
      <c r="L13" s="5" t="str">
        <f aca="false">IF(H13="","",IF(AND(H13="Yes",I13="Yes",J13&lt;&gt;"",J13&lt;&gt;"None of these"),"Required: before first use, from 2 Dec 2027","Not required: record the reason"))</f>
        <v/>
      </c>
      <c r="M13" s="23"/>
      <c r="N13" s="23"/>
    </row>
    <row r="14" customFormat="false" ht="19.5" hidden="false" customHeight="true" outlineLevel="0" collapsed="false">
      <c r="A14" s="23"/>
      <c r="B14" s="23"/>
      <c r="C14" s="24"/>
      <c r="D14" s="24"/>
      <c r="E14" s="24"/>
      <c r="F14" s="24"/>
      <c r="G14" s="24"/>
      <c r="H14" s="24"/>
      <c r="I14" s="24"/>
      <c r="J14" s="23"/>
      <c r="K14" s="5" t="str">
        <f aca="false">IF(C14="","",IF(C14="No","Not required: no personal data",IF(OR(D14="Yes",E14="Yes",F14="Yes",G14="Yes"),"Required: before processing","Not required: record the reason")))</f>
        <v/>
      </c>
      <c r="L14" s="5" t="str">
        <f aca="false">IF(H14="","",IF(AND(H14="Yes",I14="Yes",J14&lt;&gt;"",J14&lt;&gt;"None of these"),"Required: before first use, from 2 Dec 2027","Not required: record the reason"))</f>
        <v/>
      </c>
      <c r="M14" s="23"/>
      <c r="N14" s="23"/>
    </row>
    <row r="15" customFormat="false" ht="19.5" hidden="false" customHeight="true" outlineLevel="0" collapsed="false">
      <c r="A15" s="23"/>
      <c r="B15" s="23"/>
      <c r="C15" s="24"/>
      <c r="D15" s="24"/>
      <c r="E15" s="24"/>
      <c r="F15" s="24"/>
      <c r="G15" s="24"/>
      <c r="H15" s="24"/>
      <c r="I15" s="24"/>
      <c r="J15" s="23"/>
      <c r="K15" s="5" t="str">
        <f aca="false">IF(C15="","",IF(C15="No","Not required: no personal data",IF(OR(D15="Yes",E15="Yes",F15="Yes",G15="Yes"),"Required: before processing","Not required: record the reason")))</f>
        <v/>
      </c>
      <c r="L15" s="5" t="str">
        <f aca="false">IF(H15="","",IF(AND(H15="Yes",I15="Yes",J15&lt;&gt;"",J15&lt;&gt;"None of these"),"Required: before first use, from 2 Dec 2027","Not required: record the reason"))</f>
        <v/>
      </c>
      <c r="M15" s="23"/>
      <c r="N15" s="23"/>
    </row>
    <row r="16" customFormat="false" ht="19.5" hidden="false" customHeight="true" outlineLevel="0" collapsed="false">
      <c r="A16" s="23"/>
      <c r="B16" s="23"/>
      <c r="C16" s="24"/>
      <c r="D16" s="24"/>
      <c r="E16" s="24"/>
      <c r="F16" s="24"/>
      <c r="G16" s="24"/>
      <c r="H16" s="24"/>
      <c r="I16" s="24"/>
      <c r="J16" s="23"/>
      <c r="K16" s="5" t="str">
        <f aca="false">IF(C16="","",IF(C16="No","Not required: no personal data",IF(OR(D16="Yes",E16="Yes",F16="Yes",G16="Yes"),"Required: before processing","Not required: record the reason")))</f>
        <v/>
      </c>
      <c r="L16" s="5" t="str">
        <f aca="false">IF(H16="","",IF(AND(H16="Yes",I16="Yes",J16&lt;&gt;"",J16&lt;&gt;"None of these"),"Required: before first use, from 2 Dec 2027","Not required: record the reason"))</f>
        <v/>
      </c>
      <c r="M16" s="23"/>
      <c r="N16" s="23"/>
    </row>
    <row r="17" customFormat="false" ht="19.5" hidden="false" customHeight="true" outlineLevel="0" collapsed="false">
      <c r="A17" s="23"/>
      <c r="B17" s="23"/>
      <c r="C17" s="24"/>
      <c r="D17" s="24"/>
      <c r="E17" s="24"/>
      <c r="F17" s="24"/>
      <c r="G17" s="24"/>
      <c r="H17" s="24"/>
      <c r="I17" s="24"/>
      <c r="J17" s="23"/>
      <c r="K17" s="5" t="str">
        <f aca="false">IF(C17="","",IF(C17="No","Not required: no personal data",IF(OR(D17="Yes",E17="Yes",F17="Yes",G17="Yes"),"Required: before processing","Not required: record the reason")))</f>
        <v/>
      </c>
      <c r="L17" s="5" t="str">
        <f aca="false">IF(H17="","",IF(AND(H17="Yes",I17="Yes",J17&lt;&gt;"",J17&lt;&gt;"None of these"),"Required: before first use, from 2 Dec 2027","Not required: record the reason"))</f>
        <v/>
      </c>
      <c r="M17" s="23"/>
      <c r="N17" s="23"/>
    </row>
    <row r="18" customFormat="false" ht="19.5" hidden="false" customHeight="true" outlineLevel="0" collapsed="false">
      <c r="A18" s="23"/>
      <c r="B18" s="23"/>
      <c r="C18" s="24"/>
      <c r="D18" s="24"/>
      <c r="E18" s="24"/>
      <c r="F18" s="24"/>
      <c r="G18" s="24"/>
      <c r="H18" s="24"/>
      <c r="I18" s="24"/>
      <c r="J18" s="23"/>
      <c r="K18" s="5" t="str">
        <f aca="false">IF(C18="","",IF(C18="No","Not required: no personal data",IF(OR(D18="Yes",E18="Yes",F18="Yes",G18="Yes"),"Required: before processing","Not required: record the reason")))</f>
        <v/>
      </c>
      <c r="L18" s="5" t="str">
        <f aca="false">IF(H18="","",IF(AND(H18="Yes",I18="Yes",J18&lt;&gt;"",J18&lt;&gt;"None of these"),"Required: before first use, from 2 Dec 2027","Not required: record the reason"))</f>
        <v/>
      </c>
      <c r="M18" s="23"/>
      <c r="N18" s="23"/>
    </row>
    <row r="19" customFormat="false" ht="19.5" hidden="false" customHeight="true" outlineLevel="0" collapsed="false">
      <c r="A19" s="23"/>
      <c r="B19" s="23"/>
      <c r="C19" s="24"/>
      <c r="D19" s="24"/>
      <c r="E19" s="24"/>
      <c r="F19" s="24"/>
      <c r="G19" s="24"/>
      <c r="H19" s="24"/>
      <c r="I19" s="24"/>
      <c r="J19" s="23"/>
      <c r="K19" s="5" t="str">
        <f aca="false">IF(C19="","",IF(C19="No","Not required: no personal data",IF(OR(D19="Yes",E19="Yes",F19="Yes",G19="Yes"),"Required: before processing","Not required: record the reason")))</f>
        <v/>
      </c>
      <c r="L19" s="5" t="str">
        <f aca="false">IF(H19="","",IF(AND(H19="Yes",I19="Yes",J19&lt;&gt;"",J19&lt;&gt;"None of these"),"Required: before first use, from 2 Dec 2027","Not required: record the reason"))</f>
        <v/>
      </c>
      <c r="M19" s="23"/>
      <c r="N19" s="23"/>
    </row>
    <row r="20" customFormat="false" ht="19.5" hidden="false" customHeight="true" outlineLevel="0" collapsed="false">
      <c r="A20" s="23"/>
      <c r="B20" s="23"/>
      <c r="C20" s="24"/>
      <c r="D20" s="24"/>
      <c r="E20" s="24"/>
      <c r="F20" s="24"/>
      <c r="G20" s="24"/>
      <c r="H20" s="24"/>
      <c r="I20" s="24"/>
      <c r="J20" s="23"/>
      <c r="K20" s="5" t="str">
        <f aca="false">IF(C20="","",IF(C20="No","Not required: no personal data",IF(OR(D20="Yes",E20="Yes",F20="Yes",G20="Yes"),"Required: before processing","Not required: record the reason")))</f>
        <v/>
      </c>
      <c r="L20" s="5" t="str">
        <f aca="false">IF(H20="","",IF(AND(H20="Yes",I20="Yes",J20&lt;&gt;"",J20&lt;&gt;"None of these"),"Required: before first use, from 2 Dec 2027","Not required: record the reason"))</f>
        <v/>
      </c>
      <c r="M20" s="23"/>
      <c r="N20" s="23"/>
    </row>
    <row r="21" customFormat="false" ht="19.5" hidden="false" customHeight="true" outlineLevel="0" collapsed="false">
      <c r="A21" s="23"/>
      <c r="B21" s="23"/>
      <c r="C21" s="24"/>
      <c r="D21" s="24"/>
      <c r="E21" s="24"/>
      <c r="F21" s="24"/>
      <c r="G21" s="24"/>
      <c r="H21" s="24"/>
      <c r="I21" s="24"/>
      <c r="J21" s="23"/>
      <c r="K21" s="5" t="str">
        <f aca="false">IF(C21="","",IF(C21="No","Not required: no personal data",IF(OR(D21="Yes",E21="Yes",F21="Yes",G21="Yes"),"Required: before processing","Not required: record the reason")))</f>
        <v/>
      </c>
      <c r="L21" s="5" t="str">
        <f aca="false">IF(H21="","",IF(AND(H21="Yes",I21="Yes",J21&lt;&gt;"",J21&lt;&gt;"None of these"),"Required: before first use, from 2 Dec 2027","Not required: record the reason"))</f>
        <v/>
      </c>
      <c r="M21" s="23"/>
      <c r="N21" s="23"/>
    </row>
    <row r="22" customFormat="false" ht="19.5" hidden="false" customHeight="true" outlineLevel="0" collapsed="false">
      <c r="A22" s="23"/>
      <c r="B22" s="23"/>
      <c r="C22" s="24"/>
      <c r="D22" s="24"/>
      <c r="E22" s="24"/>
      <c r="F22" s="24"/>
      <c r="G22" s="24"/>
      <c r="H22" s="24"/>
      <c r="I22" s="24"/>
      <c r="J22" s="23"/>
      <c r="K22" s="5" t="str">
        <f aca="false">IF(C22="","",IF(C22="No","Not required: no personal data",IF(OR(D22="Yes",E22="Yes",F22="Yes",G22="Yes"),"Required: before processing","Not required: record the reason")))</f>
        <v/>
      </c>
      <c r="L22" s="5" t="str">
        <f aca="false">IF(H22="","",IF(AND(H22="Yes",I22="Yes",J22&lt;&gt;"",J22&lt;&gt;"None of these"),"Required: before first use, from 2 Dec 2027","Not required: record the reason"))</f>
        <v/>
      </c>
      <c r="M22" s="23"/>
      <c r="N22" s="23"/>
    </row>
    <row r="23" customFormat="false" ht="19.5" hidden="false" customHeight="true" outlineLevel="0" collapsed="false">
      <c r="A23" s="23"/>
      <c r="B23" s="23"/>
      <c r="C23" s="24"/>
      <c r="D23" s="24"/>
      <c r="E23" s="24"/>
      <c r="F23" s="24"/>
      <c r="G23" s="24"/>
      <c r="H23" s="24"/>
      <c r="I23" s="24"/>
      <c r="J23" s="23"/>
      <c r="K23" s="5" t="str">
        <f aca="false">IF(C23="","",IF(C23="No","Not required: no personal data",IF(OR(D23="Yes",E23="Yes",F23="Yes",G23="Yes"),"Required: before processing","Not required: record the reason")))</f>
        <v/>
      </c>
      <c r="L23" s="5" t="str">
        <f aca="false">IF(H23="","",IF(AND(H23="Yes",I23="Yes",J23&lt;&gt;"",J23&lt;&gt;"None of these"),"Required: before first use, from 2 Dec 2027","Not required: record the reason"))</f>
        <v/>
      </c>
      <c r="M23" s="23"/>
      <c r="N23" s="23"/>
    </row>
    <row r="24" customFormat="false" ht="19.5" hidden="false" customHeight="true" outlineLevel="0" collapsed="false">
      <c r="A24" s="23"/>
      <c r="B24" s="23"/>
      <c r="C24" s="24"/>
      <c r="D24" s="24"/>
      <c r="E24" s="24"/>
      <c r="F24" s="24"/>
      <c r="G24" s="24"/>
      <c r="H24" s="24"/>
      <c r="I24" s="24"/>
      <c r="J24" s="23"/>
      <c r="K24" s="5" t="str">
        <f aca="false">IF(C24="","",IF(C24="No","Not required: no personal data",IF(OR(D24="Yes",E24="Yes",F24="Yes",G24="Yes"),"Required: before processing","Not required: record the reason")))</f>
        <v/>
      </c>
      <c r="L24" s="5" t="str">
        <f aca="false">IF(H24="","",IF(AND(H24="Yes",I24="Yes",J24&lt;&gt;"",J24&lt;&gt;"None of these"),"Required: before first use, from 2 Dec 2027","Not required: record the reason"))</f>
        <v/>
      </c>
      <c r="M24" s="23"/>
      <c r="N24" s="23"/>
    </row>
    <row r="25" customFormat="false" ht="19.5" hidden="false" customHeight="true" outlineLevel="0" collapsed="false">
      <c r="A25" s="23"/>
      <c r="B25" s="23"/>
      <c r="C25" s="24"/>
      <c r="D25" s="24"/>
      <c r="E25" s="24"/>
      <c r="F25" s="24"/>
      <c r="G25" s="24"/>
      <c r="H25" s="24"/>
      <c r="I25" s="24"/>
      <c r="J25" s="23"/>
      <c r="K25" s="5" t="str">
        <f aca="false">IF(C25="","",IF(C25="No","Not required: no personal data",IF(OR(D25="Yes",E25="Yes",F25="Yes",G25="Yes"),"Required: before processing","Not required: record the reason")))</f>
        <v/>
      </c>
      <c r="L25" s="5" t="str">
        <f aca="false">IF(H25="","",IF(AND(H25="Yes",I25="Yes",J25&lt;&gt;"",J25&lt;&gt;"None of these"),"Required: before first use, from 2 Dec 2027","Not required: record the reason"))</f>
        <v/>
      </c>
      <c r="M25" s="23"/>
      <c r="N25" s="23"/>
    </row>
    <row r="26" customFormat="false" ht="19.5" hidden="false" customHeight="true" outlineLevel="0" collapsed="false">
      <c r="A26" s="23"/>
      <c r="B26" s="23"/>
      <c r="C26" s="24"/>
      <c r="D26" s="24"/>
      <c r="E26" s="24"/>
      <c r="F26" s="24"/>
      <c r="G26" s="24"/>
      <c r="H26" s="24"/>
      <c r="I26" s="24"/>
      <c r="J26" s="23"/>
      <c r="K26" s="5" t="str">
        <f aca="false">IF(C26="","",IF(C26="No","Not required: no personal data",IF(OR(D26="Yes",E26="Yes",F26="Yes",G26="Yes"),"Required: before processing","Not required: record the reason")))</f>
        <v/>
      </c>
      <c r="L26" s="5" t="str">
        <f aca="false">IF(H26="","",IF(AND(H26="Yes",I26="Yes",J26&lt;&gt;"",J26&lt;&gt;"None of these"),"Required: before first use, from 2 Dec 2027","Not required: record the reason"))</f>
        <v/>
      </c>
      <c r="M26" s="23"/>
      <c r="N26" s="23"/>
    </row>
    <row r="27" customFormat="false" ht="19.5" hidden="false" customHeight="true" outlineLevel="0" collapsed="false">
      <c r="A27" s="23"/>
      <c r="B27" s="23"/>
      <c r="C27" s="24"/>
      <c r="D27" s="24"/>
      <c r="E27" s="24"/>
      <c r="F27" s="24"/>
      <c r="G27" s="24"/>
      <c r="H27" s="24"/>
      <c r="I27" s="24"/>
      <c r="J27" s="23"/>
      <c r="K27" s="5" t="str">
        <f aca="false">IF(C27="","",IF(C27="No","Not required: no personal data",IF(OR(D27="Yes",E27="Yes",F27="Yes",G27="Yes"),"Required: before processing","Not required: record the reason")))</f>
        <v/>
      </c>
      <c r="L27" s="5" t="str">
        <f aca="false">IF(H27="","",IF(AND(H27="Yes",I27="Yes",J27&lt;&gt;"",J27&lt;&gt;"None of these"),"Required: before first use, from 2 Dec 2027","Not required: record the reason"))</f>
        <v/>
      </c>
      <c r="M27" s="23"/>
      <c r="N27" s="23"/>
    </row>
    <row r="28" customFormat="false" ht="19.5" hidden="false" customHeight="true" outlineLevel="0" collapsed="false">
      <c r="A28" s="23"/>
      <c r="B28" s="23"/>
      <c r="C28" s="24"/>
      <c r="D28" s="24"/>
      <c r="E28" s="24"/>
      <c r="F28" s="24"/>
      <c r="G28" s="24"/>
      <c r="H28" s="24"/>
      <c r="I28" s="24"/>
      <c r="J28" s="23"/>
      <c r="K28" s="5" t="str">
        <f aca="false">IF(C28="","",IF(C28="No","Not required: no personal data",IF(OR(D28="Yes",E28="Yes",F28="Yes",G28="Yes"),"Required: before processing","Not required: record the reason")))</f>
        <v/>
      </c>
      <c r="L28" s="5" t="str">
        <f aca="false">IF(H28="","",IF(AND(H28="Yes",I28="Yes",J28&lt;&gt;"",J28&lt;&gt;"None of these"),"Required: before first use, from 2 Dec 2027","Not required: record the reason"))</f>
        <v/>
      </c>
      <c r="M28" s="23"/>
      <c r="N28" s="23"/>
    </row>
  </sheetData>
  <conditionalFormatting sqref="K4:K28">
    <cfRule type="expression" priority="2" aboveAverage="0" equalAverage="0" bottom="0" percent="0" rank="0" text="" dxfId="0">
      <formula>LEFT(K4,8)="Required"</formula>
    </cfRule>
    <cfRule type="expression" priority="3" aboveAverage="0" equalAverage="0" bottom="0" percent="0" rank="0" text="" dxfId="1">
      <formula>LEFT(K4,3)="Not"</formula>
    </cfRule>
  </conditionalFormatting>
  <conditionalFormatting sqref="L4:L28">
    <cfRule type="expression" priority="4" aboveAverage="0" equalAverage="0" bottom="0" percent="0" rank="0" text="" dxfId="0">
      <formula>LEFT(L4,8)="Required"</formula>
    </cfRule>
    <cfRule type="expression" priority="5" aboveAverage="0" equalAverage="0" bottom="0" percent="0" rank="0" text="" dxfId="1">
      <formula>LEFT(L4,3)="Not"</formula>
    </cfRule>
  </conditionalFormatting>
  <dataValidations count="2">
    <dataValidation allowBlank="true" errorStyle="stop" operator="between" showDropDown="false" showErrorMessage="false" showInputMessage="false" sqref="C4:I28" type="list">
      <formula1>"Yes,No"</formula1>
      <formula2>0</formula2>
    </dataValidation>
    <dataValidation allowBlank="true" errorStyle="stop" operator="between" showDropDown="false" showErrorMessage="false" showInputMessage="false" sqref="J4:J28" type="list">
      <formula1>"Public body,Private entity providing public services,Credit scoring (Annex III 5(b)),Life or health insurance (Annex III 5(c)),None of these"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90"/>
    <col collapsed="false" customWidth="true" hidden="false" outlineLevel="0" max="4" min="4" style="0" width="12"/>
  </cols>
  <sheetData>
    <row r="1" customFormat="false" ht="19.7" hidden="false" customHeight="false" outlineLevel="0" collapsed="false">
      <c r="A1" s="1" t="s">
        <v>282</v>
      </c>
    </row>
    <row r="2" customFormat="false" ht="15" hidden="false" customHeight="false" outlineLevel="0" collapsed="false">
      <c r="A2" s="2" t="s">
        <v>283</v>
      </c>
    </row>
    <row r="3" customFormat="false" ht="45" hidden="false" customHeight="true" outlineLevel="0" collapsed="false">
      <c r="A3" s="14" t="s">
        <v>110</v>
      </c>
      <c r="B3" s="14" t="s">
        <v>111</v>
      </c>
      <c r="C3" s="14" t="s">
        <v>284</v>
      </c>
      <c r="D3" s="14" t="s">
        <v>113</v>
      </c>
    </row>
    <row r="4" customFormat="false" ht="60" hidden="false" customHeight="true" outlineLevel="0" collapsed="false">
      <c r="A4" s="5" t="s">
        <v>114</v>
      </c>
      <c r="B4" s="6" t="s">
        <v>115</v>
      </c>
      <c r="C4" s="23"/>
      <c r="D4" s="6" t="s">
        <v>117</v>
      </c>
    </row>
    <row r="5" customFormat="false" ht="60" hidden="false" customHeight="true" outlineLevel="0" collapsed="false">
      <c r="A5" s="5" t="s">
        <v>118</v>
      </c>
      <c r="B5" s="6" t="s">
        <v>119</v>
      </c>
      <c r="C5" s="23"/>
      <c r="D5" s="6" t="s">
        <v>121</v>
      </c>
    </row>
    <row r="6" customFormat="false" ht="60" hidden="false" customHeight="true" outlineLevel="0" collapsed="false">
      <c r="A6" s="5" t="s">
        <v>122</v>
      </c>
      <c r="B6" s="6" t="s">
        <v>123</v>
      </c>
      <c r="C6" s="23"/>
      <c r="D6" s="6" t="s">
        <v>121</v>
      </c>
    </row>
    <row r="7" customFormat="false" ht="60" hidden="false" customHeight="true" outlineLevel="0" collapsed="false">
      <c r="A7" s="5" t="s">
        <v>125</v>
      </c>
      <c r="B7" s="6" t="s">
        <v>126</v>
      </c>
      <c r="C7" s="23"/>
      <c r="D7" s="6" t="s">
        <v>121</v>
      </c>
    </row>
    <row r="8" customFormat="false" ht="60" hidden="false" customHeight="true" outlineLevel="0" collapsed="false">
      <c r="A8" s="5" t="s">
        <v>128</v>
      </c>
      <c r="B8" s="6" t="s">
        <v>129</v>
      </c>
      <c r="C8" s="23"/>
      <c r="D8" s="6" t="s">
        <v>121</v>
      </c>
    </row>
    <row r="9" customFormat="false" ht="60" hidden="false" customHeight="true" outlineLevel="0" collapsed="false">
      <c r="A9" s="5" t="s">
        <v>131</v>
      </c>
      <c r="B9" s="6" t="s">
        <v>132</v>
      </c>
      <c r="C9" s="23"/>
      <c r="D9" s="6" t="s">
        <v>134</v>
      </c>
    </row>
    <row r="10" customFormat="false" ht="60" hidden="false" customHeight="true" outlineLevel="0" collapsed="false">
      <c r="A10" s="5" t="s">
        <v>135</v>
      </c>
      <c r="B10" s="6" t="s">
        <v>136</v>
      </c>
      <c r="C10" s="23"/>
      <c r="D10" s="6" t="s">
        <v>134</v>
      </c>
    </row>
    <row r="11" customFormat="false" ht="60" hidden="false" customHeight="true" outlineLevel="0" collapsed="false">
      <c r="A11" s="5" t="s">
        <v>138</v>
      </c>
      <c r="B11" s="6" t="s">
        <v>139</v>
      </c>
      <c r="C11" s="23"/>
      <c r="D11" s="6" t="s">
        <v>141</v>
      </c>
    </row>
    <row r="12" customFormat="false" ht="60" hidden="false" customHeight="true" outlineLevel="0" collapsed="false">
      <c r="A12" s="5" t="s">
        <v>142</v>
      </c>
      <c r="B12" s="6" t="s">
        <v>143</v>
      </c>
      <c r="C12" s="23"/>
      <c r="D12" s="6" t="s">
        <v>145</v>
      </c>
    </row>
    <row r="13" customFormat="false" ht="60" hidden="false" customHeight="true" outlineLevel="0" collapsed="false">
      <c r="A13" s="5" t="s">
        <v>146</v>
      </c>
      <c r="B13" s="6" t="s">
        <v>147</v>
      </c>
      <c r="C13" s="23"/>
      <c r="D13" s="6" t="s">
        <v>149</v>
      </c>
    </row>
    <row r="14" customFormat="false" ht="60" hidden="false" customHeight="true" outlineLevel="0" collapsed="false">
      <c r="A14" s="5" t="s">
        <v>150</v>
      </c>
      <c r="B14" s="6" t="s">
        <v>151</v>
      </c>
      <c r="C14" s="23"/>
      <c r="D14" s="6" t="s">
        <v>153</v>
      </c>
    </row>
    <row r="15" customFormat="false" ht="60" hidden="false" customHeight="true" outlineLevel="0" collapsed="false">
      <c r="A15" s="5" t="s">
        <v>154</v>
      </c>
      <c r="B15" s="6" t="s">
        <v>155</v>
      </c>
      <c r="C15" s="23"/>
      <c r="D15" s="6" t="s">
        <v>157</v>
      </c>
    </row>
    <row r="16" customFormat="false" ht="60" hidden="false" customHeight="true" outlineLevel="0" collapsed="false">
      <c r="A16" s="5" t="s">
        <v>158</v>
      </c>
      <c r="B16" s="6" t="s">
        <v>159</v>
      </c>
      <c r="C16" s="23"/>
      <c r="D16" s="6" t="s">
        <v>161</v>
      </c>
    </row>
    <row r="17" customFormat="false" ht="60" hidden="false" customHeight="true" outlineLevel="0" collapsed="false">
      <c r="A17" s="5" t="s">
        <v>162</v>
      </c>
      <c r="B17" s="6" t="s">
        <v>163</v>
      </c>
      <c r="C17" s="23"/>
      <c r="D17" s="6" t="s">
        <v>165</v>
      </c>
    </row>
    <row r="18" customFormat="false" ht="60" hidden="false" customHeight="true" outlineLevel="0" collapsed="false">
      <c r="A18" s="5" t="s">
        <v>166</v>
      </c>
      <c r="B18" s="6" t="s">
        <v>167</v>
      </c>
      <c r="C18" s="23"/>
      <c r="D18" s="6" t="s">
        <v>169</v>
      </c>
    </row>
    <row r="19" customFormat="false" ht="60" hidden="false" customHeight="true" outlineLevel="0" collapsed="false">
      <c r="A19" s="5" t="s">
        <v>170</v>
      </c>
      <c r="B19" s="6" t="s">
        <v>171</v>
      </c>
      <c r="C19" s="23"/>
      <c r="D19" s="6"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80"/>
    <col collapsed="false" customWidth="true" hidden="false" outlineLevel="0" max="4" min="4" style="0" width="28"/>
    <col collapsed="false" customWidth="true" hidden="false" outlineLevel="0" max="5" min="5" style="0" width="13"/>
  </cols>
  <sheetData>
    <row r="1" customFormat="false" ht="19.7" hidden="false" customHeight="false" outlineLevel="0" collapsed="false">
      <c r="A1" s="1" t="s">
        <v>285</v>
      </c>
    </row>
    <row r="2" customFormat="false" ht="15" hidden="false" customHeight="false" outlineLevel="0" collapsed="false">
      <c r="A2" s="2" t="s">
        <v>286</v>
      </c>
    </row>
    <row r="3" customFormat="false" ht="45" hidden="false" customHeight="true" outlineLevel="0" collapsed="false">
      <c r="A3" s="14" t="s">
        <v>175</v>
      </c>
      <c r="B3" s="14" t="s">
        <v>111</v>
      </c>
      <c r="C3" s="14" t="s">
        <v>284</v>
      </c>
      <c r="D3" s="14" t="s">
        <v>177</v>
      </c>
      <c r="E3" s="14" t="s">
        <v>113</v>
      </c>
    </row>
    <row r="4" customFormat="false" ht="60" hidden="false" customHeight="true" outlineLevel="0" collapsed="false">
      <c r="A4" s="5" t="s">
        <v>178</v>
      </c>
      <c r="B4" s="6" t="s">
        <v>179</v>
      </c>
      <c r="C4" s="23"/>
      <c r="D4" s="23"/>
      <c r="E4" s="6" t="s">
        <v>182</v>
      </c>
    </row>
    <row r="5" customFormat="false" ht="60" hidden="false" customHeight="true" outlineLevel="0" collapsed="false">
      <c r="A5" s="5" t="s">
        <v>183</v>
      </c>
      <c r="B5" s="6" t="s">
        <v>184</v>
      </c>
      <c r="C5" s="23"/>
      <c r="D5" s="23"/>
      <c r="E5" s="6" t="s">
        <v>186</v>
      </c>
    </row>
    <row r="6" customFormat="false" ht="60" hidden="false" customHeight="true" outlineLevel="0" collapsed="false">
      <c r="A6" s="5" t="s">
        <v>187</v>
      </c>
      <c r="B6" s="6" t="s">
        <v>188</v>
      </c>
      <c r="C6" s="23"/>
      <c r="D6" s="23"/>
      <c r="E6" s="6" t="s">
        <v>191</v>
      </c>
    </row>
    <row r="7" customFormat="false" ht="60" hidden="false" customHeight="true" outlineLevel="0" collapsed="false">
      <c r="A7" s="5" t="s">
        <v>192</v>
      </c>
      <c r="B7" s="6" t="s">
        <v>193</v>
      </c>
      <c r="C7" s="23"/>
      <c r="D7" s="23"/>
      <c r="E7" s="6" t="s">
        <v>196</v>
      </c>
    </row>
    <row r="8" customFormat="false" ht="60" hidden="false" customHeight="true" outlineLevel="0" collapsed="false">
      <c r="A8" s="5" t="s">
        <v>197</v>
      </c>
      <c r="B8" s="6" t="s">
        <v>198</v>
      </c>
      <c r="C8" s="23"/>
      <c r="D8" s="23"/>
      <c r="E8" s="6" t="s">
        <v>201</v>
      </c>
    </row>
    <row r="9" customFormat="false" ht="60" hidden="false" customHeight="true" outlineLevel="0" collapsed="false">
      <c r="A9" s="5" t="s">
        <v>202</v>
      </c>
      <c r="B9" s="6" t="s">
        <v>203</v>
      </c>
      <c r="C9" s="23"/>
      <c r="D9" s="23"/>
      <c r="E9" s="6" t="s">
        <v>206</v>
      </c>
    </row>
    <row r="10" customFormat="false" ht="60" hidden="false" customHeight="true" outlineLevel="0" collapsed="false">
      <c r="A10" s="5" t="s">
        <v>207</v>
      </c>
      <c r="B10" s="6" t="s">
        <v>208</v>
      </c>
      <c r="C10" s="23"/>
      <c r="D10" s="23"/>
      <c r="E10" s="6" t="s">
        <v>210</v>
      </c>
    </row>
    <row r="11" customFormat="false" ht="60" hidden="false" customHeight="true" outlineLevel="0" collapsed="false">
      <c r="A11" s="5" t="s">
        <v>211</v>
      </c>
      <c r="B11" s="6" t="s">
        <v>212</v>
      </c>
      <c r="C11" s="23"/>
      <c r="D11" s="23"/>
      <c r="E11" s="6"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2"/>
    <col collapsed="false" customWidth="true" hidden="false" outlineLevel="0" max="5" min="4" style="0" width="11"/>
    <col collapsed="false" customWidth="true" hidden="false" outlineLevel="0" max="6" min="6" style="0" width="8"/>
    <col collapsed="false" customWidth="true" hidden="false" outlineLevel="0" max="7" min="7" style="0" width="11"/>
    <col collapsed="false" customWidth="true" hidden="false" outlineLevel="0" max="8" min="8" style="0" width="52"/>
    <col collapsed="false" customWidth="true" hidden="false" outlineLevel="0" max="9" min="9" style="0" width="22"/>
    <col collapsed="false" customWidth="true" hidden="false" outlineLevel="0" max="11" min="10" style="0" width="11"/>
    <col collapsed="false" customWidth="true" hidden="false" outlineLevel="0" max="12" min="12" style="0" width="9"/>
    <col collapsed="false" customWidth="true" hidden="false" outlineLevel="0" max="13" min="13" style="0" width="11"/>
    <col collapsed="false" customWidth="true" hidden="false" outlineLevel="0" max="14" min="14" style="0" width="12"/>
    <col collapsed="false" customWidth="true" hidden="false" outlineLevel="0" max="15" min="15" style="0" width="11"/>
    <col collapsed="false" customWidth="true" hidden="false" outlineLevel="0" max="16" min="16" style="0" width="14"/>
  </cols>
  <sheetData>
    <row r="1" customFormat="false" ht="19.7" hidden="false" customHeight="false" outlineLevel="0" collapsed="false">
      <c r="A1" s="1" t="s">
        <v>287</v>
      </c>
    </row>
    <row r="2" customFormat="false" ht="15" hidden="false" customHeight="false" outlineLevel="0" collapsed="false">
      <c r="A2" s="2" t="s">
        <v>216</v>
      </c>
    </row>
    <row r="3" customFormat="false" ht="45" hidden="false" customHeight="true" outlineLevel="0" collapsed="false">
      <c r="A3" s="14" t="s">
        <v>217</v>
      </c>
      <c r="B3" s="14" t="s">
        <v>218</v>
      </c>
      <c r="C3" s="14" t="s">
        <v>219</v>
      </c>
      <c r="D3" s="14" t="s">
        <v>37</v>
      </c>
      <c r="E3" s="14" t="s">
        <v>39</v>
      </c>
      <c r="F3" s="14" t="s">
        <v>220</v>
      </c>
      <c r="G3" s="14" t="s">
        <v>71</v>
      </c>
      <c r="H3" s="14" t="s">
        <v>221</v>
      </c>
      <c r="I3" s="14" t="s">
        <v>222</v>
      </c>
      <c r="J3" s="14" t="s">
        <v>223</v>
      </c>
      <c r="K3" s="14" t="s">
        <v>224</v>
      </c>
      <c r="L3" s="14" t="s">
        <v>225</v>
      </c>
      <c r="M3" s="14" t="s">
        <v>226</v>
      </c>
      <c r="N3" s="14" t="s">
        <v>227</v>
      </c>
      <c r="O3" s="14" t="s">
        <v>228</v>
      </c>
      <c r="P3" s="14" t="s">
        <v>229</v>
      </c>
    </row>
    <row r="4" customFormat="false" ht="19.5" hidden="false" customHeight="true" outlineLevel="0" collapsed="false">
      <c r="A4" s="23"/>
      <c r="B4" s="23"/>
      <c r="C4" s="23"/>
      <c r="D4" s="24"/>
      <c r="E4" s="24"/>
      <c r="F4" s="15" t="str">
        <f aca="false">IF(OR(D4="",E4=""),"",D4*E4)</f>
        <v/>
      </c>
      <c r="G4" s="22" t="str">
        <f aca="false">IF(F4="","",IF(F4&gt;=12,"Critical",IF(F4&gt;=8,"High",IF(F4&gt;=4,"Medium","Low"))))</f>
        <v/>
      </c>
      <c r="H4" s="23"/>
      <c r="I4" s="23"/>
      <c r="J4" s="24"/>
      <c r="K4" s="24"/>
      <c r="L4" s="15" t="str">
        <f aca="false">IF(OR(J4="",K4=""),"",J4*K4)</f>
        <v/>
      </c>
      <c r="M4" s="22" t="str">
        <f aca="false">IF(L4="","",IF(L4&gt;=12,"Critical",IF(L4&gt;=8,"High",IF(L4&gt;=4,"Medium","Low"))))</f>
        <v/>
      </c>
      <c r="N4" s="24"/>
      <c r="O4" s="24"/>
      <c r="P4" s="24"/>
    </row>
    <row r="5" customFormat="false" ht="19.5" hidden="false" customHeight="true" outlineLevel="0" collapsed="false">
      <c r="A5" s="23"/>
      <c r="B5" s="23"/>
      <c r="C5" s="23"/>
      <c r="D5" s="24"/>
      <c r="E5" s="24"/>
      <c r="F5" s="15" t="str">
        <f aca="false">IF(OR(D5="",E5=""),"",D5*E5)</f>
        <v/>
      </c>
      <c r="G5" s="22" t="str">
        <f aca="false">IF(F5="","",IF(F5&gt;=12,"Critical",IF(F5&gt;=8,"High",IF(F5&gt;=4,"Medium","Low"))))</f>
        <v/>
      </c>
      <c r="H5" s="23"/>
      <c r="I5" s="23"/>
      <c r="J5" s="24"/>
      <c r="K5" s="24"/>
      <c r="L5" s="15" t="str">
        <f aca="false">IF(OR(J5="",K5=""),"",J5*K5)</f>
        <v/>
      </c>
      <c r="M5" s="22" t="str">
        <f aca="false">IF(L5="","",IF(L5&gt;=12,"Critical",IF(L5&gt;=8,"High",IF(L5&gt;=4,"Medium","Low"))))</f>
        <v/>
      </c>
      <c r="N5" s="24"/>
      <c r="O5" s="24"/>
      <c r="P5" s="24"/>
    </row>
    <row r="6" customFormat="false" ht="19.5" hidden="false" customHeight="true" outlineLevel="0" collapsed="false">
      <c r="A6" s="23"/>
      <c r="B6" s="23"/>
      <c r="C6" s="23"/>
      <c r="D6" s="24"/>
      <c r="E6" s="24"/>
      <c r="F6" s="15" t="str">
        <f aca="false">IF(OR(D6="",E6=""),"",D6*E6)</f>
        <v/>
      </c>
      <c r="G6" s="22" t="str">
        <f aca="false">IF(F6="","",IF(F6&gt;=12,"Critical",IF(F6&gt;=8,"High",IF(F6&gt;=4,"Medium","Low"))))</f>
        <v/>
      </c>
      <c r="H6" s="23"/>
      <c r="I6" s="23"/>
      <c r="J6" s="24"/>
      <c r="K6" s="24"/>
      <c r="L6" s="15" t="str">
        <f aca="false">IF(OR(J6="",K6=""),"",J6*K6)</f>
        <v/>
      </c>
      <c r="M6" s="22" t="str">
        <f aca="false">IF(L6="","",IF(L6&gt;=12,"Critical",IF(L6&gt;=8,"High",IF(L6&gt;=4,"Medium","Low"))))</f>
        <v/>
      </c>
      <c r="N6" s="24"/>
      <c r="O6" s="24"/>
      <c r="P6" s="24"/>
    </row>
    <row r="7" customFormat="false" ht="19.5" hidden="false" customHeight="true" outlineLevel="0" collapsed="false">
      <c r="A7" s="23"/>
      <c r="B7" s="23"/>
      <c r="C7" s="23"/>
      <c r="D7" s="24"/>
      <c r="E7" s="24"/>
      <c r="F7" s="15" t="str">
        <f aca="false">IF(OR(D7="",E7=""),"",D7*E7)</f>
        <v/>
      </c>
      <c r="G7" s="22" t="str">
        <f aca="false">IF(F7="","",IF(F7&gt;=12,"Critical",IF(F7&gt;=8,"High",IF(F7&gt;=4,"Medium","Low"))))</f>
        <v/>
      </c>
      <c r="H7" s="23"/>
      <c r="I7" s="23"/>
      <c r="J7" s="24"/>
      <c r="K7" s="24"/>
      <c r="L7" s="15" t="str">
        <f aca="false">IF(OR(J7="",K7=""),"",J7*K7)</f>
        <v/>
      </c>
      <c r="M7" s="22" t="str">
        <f aca="false">IF(L7="","",IF(L7&gt;=12,"Critical",IF(L7&gt;=8,"High",IF(L7&gt;=4,"Medium","Low"))))</f>
        <v/>
      </c>
      <c r="N7" s="24"/>
      <c r="O7" s="24"/>
      <c r="P7" s="24"/>
    </row>
    <row r="8" customFormat="false" ht="19.5" hidden="false" customHeight="true" outlineLevel="0" collapsed="false">
      <c r="A8" s="23"/>
      <c r="B8" s="23"/>
      <c r="C8" s="23"/>
      <c r="D8" s="24"/>
      <c r="E8" s="24"/>
      <c r="F8" s="15" t="str">
        <f aca="false">IF(OR(D8="",E8=""),"",D8*E8)</f>
        <v/>
      </c>
      <c r="G8" s="22" t="str">
        <f aca="false">IF(F8="","",IF(F8&gt;=12,"Critical",IF(F8&gt;=8,"High",IF(F8&gt;=4,"Medium","Low"))))</f>
        <v/>
      </c>
      <c r="H8" s="23"/>
      <c r="I8" s="23"/>
      <c r="J8" s="24"/>
      <c r="K8" s="24"/>
      <c r="L8" s="15" t="str">
        <f aca="false">IF(OR(J8="",K8=""),"",J8*K8)</f>
        <v/>
      </c>
      <c r="M8" s="22" t="str">
        <f aca="false">IF(L8="","",IF(L8&gt;=12,"Critical",IF(L8&gt;=8,"High",IF(L8&gt;=4,"Medium","Low"))))</f>
        <v/>
      </c>
      <c r="N8" s="24"/>
      <c r="O8" s="24"/>
      <c r="P8" s="24"/>
    </row>
    <row r="9" customFormat="false" ht="19.5" hidden="false" customHeight="true" outlineLevel="0" collapsed="false">
      <c r="A9" s="23"/>
      <c r="B9" s="23"/>
      <c r="C9" s="23"/>
      <c r="D9" s="24"/>
      <c r="E9" s="24"/>
      <c r="F9" s="15" t="str">
        <f aca="false">IF(OR(D9="",E9=""),"",D9*E9)</f>
        <v/>
      </c>
      <c r="G9" s="22" t="str">
        <f aca="false">IF(F9="","",IF(F9&gt;=12,"Critical",IF(F9&gt;=8,"High",IF(F9&gt;=4,"Medium","Low"))))</f>
        <v/>
      </c>
      <c r="H9" s="23"/>
      <c r="I9" s="23"/>
      <c r="J9" s="24"/>
      <c r="K9" s="24"/>
      <c r="L9" s="15" t="str">
        <f aca="false">IF(OR(J9="",K9=""),"",J9*K9)</f>
        <v/>
      </c>
      <c r="M9" s="22" t="str">
        <f aca="false">IF(L9="","",IF(L9&gt;=12,"Critical",IF(L9&gt;=8,"High",IF(L9&gt;=4,"Medium","Low"))))</f>
        <v/>
      </c>
      <c r="N9" s="24"/>
      <c r="O9" s="24"/>
      <c r="P9" s="24"/>
    </row>
    <row r="10" customFormat="false" ht="19.5" hidden="false" customHeight="true" outlineLevel="0" collapsed="false">
      <c r="A10" s="23"/>
      <c r="B10" s="23"/>
      <c r="C10" s="23"/>
      <c r="D10" s="24"/>
      <c r="E10" s="24"/>
      <c r="F10" s="15" t="str">
        <f aca="false">IF(OR(D10="",E10=""),"",D10*E10)</f>
        <v/>
      </c>
      <c r="G10" s="22" t="str">
        <f aca="false">IF(F10="","",IF(F10&gt;=12,"Critical",IF(F10&gt;=8,"High",IF(F10&gt;=4,"Medium","Low"))))</f>
        <v/>
      </c>
      <c r="H10" s="23"/>
      <c r="I10" s="23"/>
      <c r="J10" s="24"/>
      <c r="K10" s="24"/>
      <c r="L10" s="15" t="str">
        <f aca="false">IF(OR(J10="",K10=""),"",J10*K10)</f>
        <v/>
      </c>
      <c r="M10" s="22" t="str">
        <f aca="false">IF(L10="","",IF(L10&gt;=12,"Critical",IF(L10&gt;=8,"High",IF(L10&gt;=4,"Medium","Low"))))</f>
        <v/>
      </c>
      <c r="N10" s="24"/>
      <c r="O10" s="24"/>
      <c r="P10" s="24"/>
    </row>
    <row r="11" customFormat="false" ht="19.5" hidden="false" customHeight="true" outlineLevel="0" collapsed="false">
      <c r="A11" s="23"/>
      <c r="B11" s="23"/>
      <c r="C11" s="23"/>
      <c r="D11" s="24"/>
      <c r="E11" s="24"/>
      <c r="F11" s="15" t="str">
        <f aca="false">IF(OR(D11="",E11=""),"",D11*E11)</f>
        <v/>
      </c>
      <c r="G11" s="22" t="str">
        <f aca="false">IF(F11="","",IF(F11&gt;=12,"Critical",IF(F11&gt;=8,"High",IF(F11&gt;=4,"Medium","Low"))))</f>
        <v/>
      </c>
      <c r="H11" s="23"/>
      <c r="I11" s="23"/>
      <c r="J11" s="24"/>
      <c r="K11" s="24"/>
      <c r="L11" s="15" t="str">
        <f aca="false">IF(OR(J11="",K11=""),"",J11*K11)</f>
        <v/>
      </c>
      <c r="M11" s="22" t="str">
        <f aca="false">IF(L11="","",IF(L11&gt;=12,"Critical",IF(L11&gt;=8,"High",IF(L11&gt;=4,"Medium","Low"))))</f>
        <v/>
      </c>
      <c r="N11" s="24"/>
      <c r="O11" s="24"/>
      <c r="P11" s="24"/>
    </row>
    <row r="12" customFormat="false" ht="19.5" hidden="false" customHeight="true" outlineLevel="0" collapsed="false">
      <c r="A12" s="23"/>
      <c r="B12" s="23"/>
      <c r="C12" s="23"/>
      <c r="D12" s="24"/>
      <c r="E12" s="24"/>
      <c r="F12" s="15" t="str">
        <f aca="false">IF(OR(D12="",E12=""),"",D12*E12)</f>
        <v/>
      </c>
      <c r="G12" s="22" t="str">
        <f aca="false">IF(F12="","",IF(F12&gt;=12,"Critical",IF(F12&gt;=8,"High",IF(F12&gt;=4,"Medium","Low"))))</f>
        <v/>
      </c>
      <c r="H12" s="23"/>
      <c r="I12" s="23"/>
      <c r="J12" s="24"/>
      <c r="K12" s="24"/>
      <c r="L12" s="15" t="str">
        <f aca="false">IF(OR(J12="",K12=""),"",J12*K12)</f>
        <v/>
      </c>
      <c r="M12" s="22" t="str">
        <f aca="false">IF(L12="","",IF(L12&gt;=12,"Critical",IF(L12&gt;=8,"High",IF(L12&gt;=4,"Medium","Low"))))</f>
        <v/>
      </c>
      <c r="N12" s="24"/>
      <c r="O12" s="24"/>
      <c r="P12" s="24"/>
    </row>
    <row r="13" customFormat="false" ht="19.5" hidden="false" customHeight="true" outlineLevel="0" collapsed="false">
      <c r="A13" s="23"/>
      <c r="B13" s="23"/>
      <c r="C13" s="23"/>
      <c r="D13" s="24"/>
      <c r="E13" s="24"/>
      <c r="F13" s="15" t="str">
        <f aca="false">IF(OR(D13="",E13=""),"",D13*E13)</f>
        <v/>
      </c>
      <c r="G13" s="22" t="str">
        <f aca="false">IF(F13="","",IF(F13&gt;=12,"Critical",IF(F13&gt;=8,"High",IF(F13&gt;=4,"Medium","Low"))))</f>
        <v/>
      </c>
      <c r="H13" s="23"/>
      <c r="I13" s="23"/>
      <c r="J13" s="24"/>
      <c r="K13" s="24"/>
      <c r="L13" s="15" t="str">
        <f aca="false">IF(OR(J13="",K13=""),"",J13*K13)</f>
        <v/>
      </c>
      <c r="M13" s="22" t="str">
        <f aca="false">IF(L13="","",IF(L13&gt;=12,"Critical",IF(L13&gt;=8,"High",IF(L13&gt;=4,"Medium","Low"))))</f>
        <v/>
      </c>
      <c r="N13" s="24"/>
      <c r="O13" s="24"/>
      <c r="P13" s="24"/>
    </row>
    <row r="14" customFormat="false" ht="19.5" hidden="false" customHeight="true" outlineLevel="0" collapsed="false">
      <c r="A14" s="23"/>
      <c r="B14" s="23"/>
      <c r="C14" s="23"/>
      <c r="D14" s="24"/>
      <c r="E14" s="24"/>
      <c r="F14" s="15" t="str">
        <f aca="false">IF(OR(D14="",E14=""),"",D14*E14)</f>
        <v/>
      </c>
      <c r="G14" s="22" t="str">
        <f aca="false">IF(F14="","",IF(F14&gt;=12,"Critical",IF(F14&gt;=8,"High",IF(F14&gt;=4,"Medium","Low"))))</f>
        <v/>
      </c>
      <c r="H14" s="23"/>
      <c r="I14" s="23"/>
      <c r="J14" s="24"/>
      <c r="K14" s="24"/>
      <c r="L14" s="15" t="str">
        <f aca="false">IF(OR(J14="",K14=""),"",J14*K14)</f>
        <v/>
      </c>
      <c r="M14" s="22" t="str">
        <f aca="false">IF(L14="","",IF(L14&gt;=12,"Critical",IF(L14&gt;=8,"High",IF(L14&gt;=4,"Medium","Low"))))</f>
        <v/>
      </c>
      <c r="N14" s="24"/>
      <c r="O14" s="24"/>
      <c r="P14" s="24"/>
    </row>
    <row r="15" customFormat="false" ht="19.5" hidden="false" customHeight="true" outlineLevel="0" collapsed="false">
      <c r="A15" s="23"/>
      <c r="B15" s="23"/>
      <c r="C15" s="23"/>
      <c r="D15" s="24"/>
      <c r="E15" s="24"/>
      <c r="F15" s="15" t="str">
        <f aca="false">IF(OR(D15="",E15=""),"",D15*E15)</f>
        <v/>
      </c>
      <c r="G15" s="22" t="str">
        <f aca="false">IF(F15="","",IF(F15&gt;=12,"Critical",IF(F15&gt;=8,"High",IF(F15&gt;=4,"Medium","Low"))))</f>
        <v/>
      </c>
      <c r="H15" s="23"/>
      <c r="I15" s="23"/>
      <c r="J15" s="24"/>
      <c r="K15" s="24"/>
      <c r="L15" s="15" t="str">
        <f aca="false">IF(OR(J15="",K15=""),"",J15*K15)</f>
        <v/>
      </c>
      <c r="M15" s="22" t="str">
        <f aca="false">IF(L15="","",IF(L15&gt;=12,"Critical",IF(L15&gt;=8,"High",IF(L15&gt;=4,"Medium","Low"))))</f>
        <v/>
      </c>
      <c r="N15" s="24"/>
      <c r="O15" s="24"/>
      <c r="P15" s="24"/>
    </row>
    <row r="16" customFormat="false" ht="19.5" hidden="false" customHeight="true" outlineLevel="0" collapsed="false">
      <c r="A16" s="23"/>
      <c r="B16" s="23"/>
      <c r="C16" s="23"/>
      <c r="D16" s="24"/>
      <c r="E16" s="24"/>
      <c r="F16" s="15" t="str">
        <f aca="false">IF(OR(D16="",E16=""),"",D16*E16)</f>
        <v/>
      </c>
      <c r="G16" s="22" t="str">
        <f aca="false">IF(F16="","",IF(F16&gt;=12,"Critical",IF(F16&gt;=8,"High",IF(F16&gt;=4,"Medium","Low"))))</f>
        <v/>
      </c>
      <c r="H16" s="23"/>
      <c r="I16" s="23"/>
      <c r="J16" s="24"/>
      <c r="K16" s="24"/>
      <c r="L16" s="15" t="str">
        <f aca="false">IF(OR(J16="",K16=""),"",J16*K16)</f>
        <v/>
      </c>
      <c r="M16" s="22" t="str">
        <f aca="false">IF(L16="","",IF(L16&gt;=12,"Critical",IF(L16&gt;=8,"High",IF(L16&gt;=4,"Medium","Low"))))</f>
        <v/>
      </c>
      <c r="N16" s="24"/>
      <c r="O16" s="24"/>
      <c r="P16" s="24"/>
    </row>
    <row r="17" customFormat="false" ht="19.5" hidden="false" customHeight="true" outlineLevel="0" collapsed="false">
      <c r="A17" s="23"/>
      <c r="B17" s="23"/>
      <c r="C17" s="23"/>
      <c r="D17" s="24"/>
      <c r="E17" s="24"/>
      <c r="F17" s="15" t="str">
        <f aca="false">IF(OR(D17="",E17=""),"",D17*E17)</f>
        <v/>
      </c>
      <c r="G17" s="22" t="str">
        <f aca="false">IF(F17="","",IF(F17&gt;=12,"Critical",IF(F17&gt;=8,"High",IF(F17&gt;=4,"Medium","Low"))))</f>
        <v/>
      </c>
      <c r="H17" s="23"/>
      <c r="I17" s="23"/>
      <c r="J17" s="24"/>
      <c r="K17" s="24"/>
      <c r="L17" s="15" t="str">
        <f aca="false">IF(OR(J17="",K17=""),"",J17*K17)</f>
        <v/>
      </c>
      <c r="M17" s="22" t="str">
        <f aca="false">IF(L17="","",IF(L17&gt;=12,"Critical",IF(L17&gt;=8,"High",IF(L17&gt;=4,"Medium","Low"))))</f>
        <v/>
      </c>
      <c r="N17" s="24"/>
      <c r="O17" s="24"/>
      <c r="P17" s="24"/>
    </row>
    <row r="18" customFormat="false" ht="19.5" hidden="false" customHeight="true" outlineLevel="0" collapsed="false">
      <c r="A18" s="23"/>
      <c r="B18" s="23"/>
      <c r="C18" s="23"/>
      <c r="D18" s="24"/>
      <c r="E18" s="24"/>
      <c r="F18" s="15" t="str">
        <f aca="false">IF(OR(D18="",E18=""),"",D18*E18)</f>
        <v/>
      </c>
      <c r="G18" s="22" t="str">
        <f aca="false">IF(F18="","",IF(F18&gt;=12,"Critical",IF(F18&gt;=8,"High",IF(F18&gt;=4,"Medium","Low"))))</f>
        <v/>
      </c>
      <c r="H18" s="23"/>
      <c r="I18" s="23"/>
      <c r="J18" s="24"/>
      <c r="K18" s="24"/>
      <c r="L18" s="15" t="str">
        <f aca="false">IF(OR(J18="",K18=""),"",J18*K18)</f>
        <v/>
      </c>
      <c r="M18" s="22" t="str">
        <f aca="false">IF(L18="","",IF(L18&gt;=12,"Critical",IF(L18&gt;=8,"High",IF(L18&gt;=4,"Medium","Low"))))</f>
        <v/>
      </c>
      <c r="N18" s="24"/>
      <c r="O18" s="24"/>
      <c r="P18" s="24"/>
    </row>
    <row r="19" customFormat="false" ht="19.5" hidden="false" customHeight="true" outlineLevel="0" collapsed="false">
      <c r="A19" s="23"/>
      <c r="B19" s="23"/>
      <c r="C19" s="23"/>
      <c r="D19" s="24"/>
      <c r="E19" s="24"/>
      <c r="F19" s="15" t="str">
        <f aca="false">IF(OR(D19="",E19=""),"",D19*E19)</f>
        <v/>
      </c>
      <c r="G19" s="22" t="str">
        <f aca="false">IF(F19="","",IF(F19&gt;=12,"Critical",IF(F19&gt;=8,"High",IF(F19&gt;=4,"Medium","Low"))))</f>
        <v/>
      </c>
      <c r="H19" s="23"/>
      <c r="I19" s="23"/>
      <c r="J19" s="24"/>
      <c r="K19" s="24"/>
      <c r="L19" s="15" t="str">
        <f aca="false">IF(OR(J19="",K19=""),"",J19*K19)</f>
        <v/>
      </c>
      <c r="M19" s="22" t="str">
        <f aca="false">IF(L19="","",IF(L19&gt;=12,"Critical",IF(L19&gt;=8,"High",IF(L19&gt;=4,"Medium","Low"))))</f>
        <v/>
      </c>
      <c r="N19" s="24"/>
      <c r="O19" s="24"/>
      <c r="P19" s="24"/>
    </row>
    <row r="20" customFormat="false" ht="19.5" hidden="false" customHeight="true" outlineLevel="0" collapsed="false">
      <c r="A20" s="23"/>
      <c r="B20" s="23"/>
      <c r="C20" s="23"/>
      <c r="D20" s="24"/>
      <c r="E20" s="24"/>
      <c r="F20" s="15" t="str">
        <f aca="false">IF(OR(D20="",E20=""),"",D20*E20)</f>
        <v/>
      </c>
      <c r="G20" s="22" t="str">
        <f aca="false">IF(F20="","",IF(F20&gt;=12,"Critical",IF(F20&gt;=8,"High",IF(F20&gt;=4,"Medium","Low"))))</f>
        <v/>
      </c>
      <c r="H20" s="23"/>
      <c r="I20" s="23"/>
      <c r="J20" s="24"/>
      <c r="K20" s="24"/>
      <c r="L20" s="15" t="str">
        <f aca="false">IF(OR(J20="",K20=""),"",J20*K20)</f>
        <v/>
      </c>
      <c r="M20" s="22" t="str">
        <f aca="false">IF(L20="","",IF(L20&gt;=12,"Critical",IF(L20&gt;=8,"High",IF(L20&gt;=4,"Medium","Low"))))</f>
        <v/>
      </c>
      <c r="N20" s="24"/>
      <c r="O20" s="24"/>
      <c r="P20" s="24"/>
    </row>
    <row r="21" customFormat="false" ht="19.5" hidden="false" customHeight="true" outlineLevel="0" collapsed="false">
      <c r="A21" s="23"/>
      <c r="B21" s="23"/>
      <c r="C21" s="23"/>
      <c r="D21" s="24"/>
      <c r="E21" s="24"/>
      <c r="F21" s="15" t="str">
        <f aca="false">IF(OR(D21="",E21=""),"",D21*E21)</f>
        <v/>
      </c>
      <c r="G21" s="22" t="str">
        <f aca="false">IF(F21="","",IF(F21&gt;=12,"Critical",IF(F21&gt;=8,"High",IF(F21&gt;=4,"Medium","Low"))))</f>
        <v/>
      </c>
      <c r="H21" s="23"/>
      <c r="I21" s="23"/>
      <c r="J21" s="24"/>
      <c r="K21" s="24"/>
      <c r="L21" s="15" t="str">
        <f aca="false">IF(OR(J21="",K21=""),"",J21*K21)</f>
        <v/>
      </c>
      <c r="M21" s="22" t="str">
        <f aca="false">IF(L21="","",IF(L21&gt;=12,"Critical",IF(L21&gt;=8,"High",IF(L21&gt;=4,"Medium","Low"))))</f>
        <v/>
      </c>
      <c r="N21" s="24"/>
      <c r="O21" s="24"/>
      <c r="P21" s="24"/>
    </row>
    <row r="22" customFormat="false" ht="19.5" hidden="false" customHeight="true" outlineLevel="0" collapsed="false">
      <c r="A22" s="23"/>
      <c r="B22" s="23"/>
      <c r="C22" s="23"/>
      <c r="D22" s="24"/>
      <c r="E22" s="24"/>
      <c r="F22" s="15" t="str">
        <f aca="false">IF(OR(D22="",E22=""),"",D22*E22)</f>
        <v/>
      </c>
      <c r="G22" s="22" t="str">
        <f aca="false">IF(F22="","",IF(F22&gt;=12,"Critical",IF(F22&gt;=8,"High",IF(F22&gt;=4,"Medium","Low"))))</f>
        <v/>
      </c>
      <c r="H22" s="23"/>
      <c r="I22" s="23"/>
      <c r="J22" s="24"/>
      <c r="K22" s="24"/>
      <c r="L22" s="15" t="str">
        <f aca="false">IF(OR(J22="",K22=""),"",J22*K22)</f>
        <v/>
      </c>
      <c r="M22" s="22" t="str">
        <f aca="false">IF(L22="","",IF(L22&gt;=12,"Critical",IF(L22&gt;=8,"High",IF(L22&gt;=4,"Medium","Low"))))</f>
        <v/>
      </c>
      <c r="N22" s="24"/>
      <c r="O22" s="24"/>
      <c r="P22" s="24"/>
    </row>
    <row r="23" customFormat="false" ht="19.5" hidden="false" customHeight="true" outlineLevel="0" collapsed="false">
      <c r="A23" s="23"/>
      <c r="B23" s="23"/>
      <c r="C23" s="23"/>
      <c r="D23" s="24"/>
      <c r="E23" s="24"/>
      <c r="F23" s="15" t="str">
        <f aca="false">IF(OR(D23="",E23=""),"",D23*E23)</f>
        <v/>
      </c>
      <c r="G23" s="22" t="str">
        <f aca="false">IF(F23="","",IF(F23&gt;=12,"Critical",IF(F23&gt;=8,"High",IF(F23&gt;=4,"Medium","Low"))))</f>
        <v/>
      </c>
      <c r="H23" s="23"/>
      <c r="I23" s="23"/>
      <c r="J23" s="24"/>
      <c r="K23" s="24"/>
      <c r="L23" s="15" t="str">
        <f aca="false">IF(OR(J23="",K23=""),"",J23*K23)</f>
        <v/>
      </c>
      <c r="M23" s="22" t="str">
        <f aca="false">IF(L23="","",IF(L23&gt;=12,"Critical",IF(L23&gt;=8,"High",IF(L23&gt;=4,"Medium","Low"))))</f>
        <v/>
      </c>
      <c r="N23" s="24"/>
      <c r="O23" s="24"/>
      <c r="P23" s="24"/>
    </row>
    <row r="24" customFormat="false" ht="19.5" hidden="false" customHeight="true" outlineLevel="0" collapsed="false">
      <c r="A24" s="23"/>
      <c r="B24" s="23"/>
      <c r="C24" s="23"/>
      <c r="D24" s="24"/>
      <c r="E24" s="24"/>
      <c r="F24" s="15" t="str">
        <f aca="false">IF(OR(D24="",E24=""),"",D24*E24)</f>
        <v/>
      </c>
      <c r="G24" s="22" t="str">
        <f aca="false">IF(F24="","",IF(F24&gt;=12,"Critical",IF(F24&gt;=8,"High",IF(F24&gt;=4,"Medium","Low"))))</f>
        <v/>
      </c>
      <c r="H24" s="23"/>
      <c r="I24" s="23"/>
      <c r="J24" s="24"/>
      <c r="K24" s="24"/>
      <c r="L24" s="15" t="str">
        <f aca="false">IF(OR(J24="",K24=""),"",J24*K24)</f>
        <v/>
      </c>
      <c r="M24" s="22" t="str">
        <f aca="false">IF(L24="","",IF(L24&gt;=12,"Critical",IF(L24&gt;=8,"High",IF(L24&gt;=4,"Medium","Low"))))</f>
        <v/>
      </c>
      <c r="N24" s="24"/>
      <c r="O24" s="24"/>
      <c r="P24" s="24"/>
    </row>
    <row r="25" customFormat="false" ht="19.5" hidden="false" customHeight="true" outlineLevel="0" collapsed="false">
      <c r="A25" s="23"/>
      <c r="B25" s="23"/>
      <c r="C25" s="23"/>
      <c r="D25" s="24"/>
      <c r="E25" s="24"/>
      <c r="F25" s="15" t="str">
        <f aca="false">IF(OR(D25="",E25=""),"",D25*E25)</f>
        <v/>
      </c>
      <c r="G25" s="22" t="str">
        <f aca="false">IF(F25="","",IF(F25&gt;=12,"Critical",IF(F25&gt;=8,"High",IF(F25&gt;=4,"Medium","Low"))))</f>
        <v/>
      </c>
      <c r="H25" s="23"/>
      <c r="I25" s="23"/>
      <c r="J25" s="24"/>
      <c r="K25" s="24"/>
      <c r="L25" s="15" t="str">
        <f aca="false">IF(OR(J25="",K25=""),"",J25*K25)</f>
        <v/>
      </c>
      <c r="M25" s="22" t="str">
        <f aca="false">IF(L25="","",IF(L25&gt;=12,"Critical",IF(L25&gt;=8,"High",IF(L25&gt;=4,"Medium","Low"))))</f>
        <v/>
      </c>
      <c r="N25" s="24"/>
      <c r="O25" s="24"/>
      <c r="P25" s="24"/>
    </row>
    <row r="26" customFormat="false" ht="19.5" hidden="false" customHeight="true" outlineLevel="0" collapsed="false">
      <c r="A26" s="23"/>
      <c r="B26" s="23"/>
      <c r="C26" s="23"/>
      <c r="D26" s="24"/>
      <c r="E26" s="24"/>
      <c r="F26" s="15" t="str">
        <f aca="false">IF(OR(D26="",E26=""),"",D26*E26)</f>
        <v/>
      </c>
      <c r="G26" s="22" t="str">
        <f aca="false">IF(F26="","",IF(F26&gt;=12,"Critical",IF(F26&gt;=8,"High",IF(F26&gt;=4,"Medium","Low"))))</f>
        <v/>
      </c>
      <c r="H26" s="23"/>
      <c r="I26" s="23"/>
      <c r="J26" s="24"/>
      <c r="K26" s="24"/>
      <c r="L26" s="15" t="str">
        <f aca="false">IF(OR(J26="",K26=""),"",J26*K26)</f>
        <v/>
      </c>
      <c r="M26" s="22" t="str">
        <f aca="false">IF(L26="","",IF(L26&gt;=12,"Critical",IF(L26&gt;=8,"High",IF(L26&gt;=4,"Medium","Low"))))</f>
        <v/>
      </c>
      <c r="N26" s="24"/>
      <c r="O26" s="24"/>
      <c r="P26" s="24"/>
    </row>
    <row r="27" customFormat="false" ht="19.5" hidden="false" customHeight="true" outlineLevel="0" collapsed="false">
      <c r="A27" s="23"/>
      <c r="B27" s="23"/>
      <c r="C27" s="23"/>
      <c r="D27" s="24"/>
      <c r="E27" s="24"/>
      <c r="F27" s="15" t="str">
        <f aca="false">IF(OR(D27="",E27=""),"",D27*E27)</f>
        <v/>
      </c>
      <c r="G27" s="22" t="str">
        <f aca="false">IF(F27="","",IF(F27&gt;=12,"Critical",IF(F27&gt;=8,"High",IF(F27&gt;=4,"Medium","Low"))))</f>
        <v/>
      </c>
      <c r="H27" s="23"/>
      <c r="I27" s="23"/>
      <c r="J27" s="24"/>
      <c r="K27" s="24"/>
      <c r="L27" s="15" t="str">
        <f aca="false">IF(OR(J27="",K27=""),"",J27*K27)</f>
        <v/>
      </c>
      <c r="M27" s="22" t="str">
        <f aca="false">IF(L27="","",IF(L27&gt;=12,"Critical",IF(L27&gt;=8,"High",IF(L27&gt;=4,"Medium","Low"))))</f>
        <v/>
      </c>
      <c r="N27" s="24"/>
      <c r="O27" s="24"/>
      <c r="P27" s="24"/>
    </row>
    <row r="28" customFormat="false" ht="19.5" hidden="false" customHeight="true" outlineLevel="0" collapsed="false">
      <c r="A28" s="23"/>
      <c r="B28" s="23"/>
      <c r="C28" s="23"/>
      <c r="D28" s="24"/>
      <c r="E28" s="24"/>
      <c r="F28" s="15" t="str">
        <f aca="false">IF(OR(D28="",E28=""),"",D28*E28)</f>
        <v/>
      </c>
      <c r="G28" s="22" t="str">
        <f aca="false">IF(F28="","",IF(F28&gt;=12,"Critical",IF(F28&gt;=8,"High",IF(F28&gt;=4,"Medium","Low"))))</f>
        <v/>
      </c>
      <c r="H28" s="23"/>
      <c r="I28" s="23"/>
      <c r="J28" s="24"/>
      <c r="K28" s="24"/>
      <c r="L28" s="15" t="str">
        <f aca="false">IF(OR(J28="",K28=""),"",J28*K28)</f>
        <v/>
      </c>
      <c r="M28" s="22" t="str">
        <f aca="false">IF(L28="","",IF(L28&gt;=12,"Critical",IF(L28&gt;=8,"High",IF(L28&gt;=4,"Medium","Low"))))</f>
        <v/>
      </c>
      <c r="N28" s="24"/>
      <c r="O28" s="24"/>
      <c r="P28" s="24"/>
    </row>
  </sheetData>
  <conditionalFormatting sqref="G4:G28">
    <cfRule type="cellIs" priority="2" operator="equal" aboveAverage="0" equalAverage="0" bottom="0" percent="0" rank="0" text="" dxfId="2">
      <formula>"Critical"</formula>
    </cfRule>
    <cfRule type="cellIs" priority="3" operator="equal" aboveAverage="0" equalAverage="0" bottom="0" percent="0" rank="0" text="" dxfId="3">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conditionalFormatting sqref="M4:M28">
    <cfRule type="cellIs" priority="6" operator="equal" aboveAverage="0" equalAverage="0" bottom="0" percent="0" rank="0" text="" dxfId="2">
      <formula>"Critical"</formula>
    </cfRule>
    <cfRule type="cellIs" priority="7" operator="equal" aboveAverage="0" equalAverage="0" bottom="0" percent="0" rank="0" text="" dxfId="3">
      <formula>"High"</formula>
    </cfRule>
    <cfRule type="cellIs" priority="8" operator="equal" aboveAverage="0" equalAverage="0" bottom="0" percent="0" rank="0" text="" dxfId="4">
      <formula>"Medium"</formula>
    </cfRule>
    <cfRule type="cellIs" priority="9" operator="equal" aboveAverage="0" equalAverage="0" bottom="0" percent="0" rank="0" text="" dxfId="5">
      <formula>"Low"</formula>
    </cfRule>
  </conditionalFormatting>
  <dataValidations count="3">
    <dataValidation allowBlank="true" errorStyle="stop" operator="between" showDropDown="false" showErrorMessage="false" showInputMessage="false" sqref="D4:E28 J4:K28" type="whole">
      <formula1>1</formula1>
      <formula2>4</formula2>
    </dataValidation>
    <dataValidation allowBlank="true" errorStyle="stop" operator="between" showDropDown="false" showErrorMessage="false" showInputMessage="false" sqref="N4:N28" type="list">
      <formula1>"open,mitigating,accepted,closed"</formula1>
      <formula2>0</formula2>
    </dataValidation>
    <dataValidation allowBlank="true" errorStyle="stop" operator="between" showDropDown="false" showErrorMessage="false" showInputMessage="false" sqref="O4:O28" type="list">
      <formula1>"DPIA,FRIA,Both"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2026-09-29T05:40:14Z</dcterms:created>
  <dc:creator>Narendra Karki</dc:creator>
  <dc:description/>
  <dc:language>en-US</dc:language>
  <cp:lastModifiedBy>Narendra Karki</cp:lastModifiedBy>
  <dcterms:modified xsi:type="dcterms:W3CDTF">2026-09-29T05:40:14Z</dcterms:modified>
  <cp:revision>0</cp:revision>
  <dc:subject/>
  <dc:title>AI Impact Assessment: screening, DPIA, FRIA and risk workbook</dc:title>
</cp:coreProperties>
</file>

<file path=docProps/custom.xml><?xml version="1.0" encoding="utf-8"?>
<Properties xmlns="http://schemas.openxmlformats.org/officeDocument/2006/custom-properties" xmlns:vt="http://schemas.openxmlformats.org/officeDocument/2006/docPropsVTypes"/>
</file>