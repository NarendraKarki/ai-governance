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AI Inventory" sheetId="3" state="visible" r:id="rId5"/>
    <sheet name="AI Risk Register" sheetId="4" state="visible" r:id="rId6"/>
    <sheet name="Inventory Template" sheetId="5" state="visible" r:id="rId7"/>
    <sheet name="Risk Register Templat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<sst xmlns="http://schemas.openxmlformats.org/spreadsheetml/2006/main" count="1026" uniqueCount="560">
  <si>
    <t xml:space="preserve">AI Inventory &amp; Risk Register - Part 4 worked example</t>
  </si>
  <si>
    <t xml:space="preserve">AI Governance Series - github.com/NarendraKarki/ai-governance</t>
  </si>
  <si>
    <t xml:space="preserve">What this is</t>
  </si>
  <si>
    <t xml:space="preserve">The worked example from AI_Risk_Register_Walkthrough.md, turned into a working Excel workbook: a six-system AI inventory and its twenty-four-risk register for a synthetic retail group (Marsa Retail Group - fictional; nothing in it describes a real company). Two blank templates are included for building your own. Educational material, not legal advice - have your DPO or legal counsel review before adopting.</t>
  </si>
  <si>
    <t xml:space="preserve">How the workbook is organised</t>
  </si>
  <si>
    <t xml:space="preserve">Read Me - this sheet.</t>
  </si>
  <si>
    <t xml:space="preserve">Summary - live counts of risks by severity band and by system, calculated with formulas from the Risk Register sheet.</t>
  </si>
  <si>
    <t xml:space="preserve">AI Inventory - the six-system worked example.</t>
  </si>
  <si>
    <t xml:space="preserve">AI Risk Register - the twenty-four-risk worked example, with two calculated columns added.</t>
  </si>
  <si>
    <t xml:space="preserve">Inventory Template / Risk Register Template - blank rows to fill in, one example row each, fillable cells shaded yellow.</t>
  </si>
  <si>
    <t xml:space="preserve">The severity and likelihood scale (fixed, 1-4)</t>
  </si>
  <si>
    <t xml:space="preserve">Every rating in the Risk Register uses the same four-level scale, defined in words in section 6 (Step 5) of the walkthrough - a 1-4 number with no definition is how registers end up with everything rated 'medium'. Severity to people and severity to the organisation are rated on separate columns, deliberately: a risk that is low-cost to the organisation and severe for the individual it affects (a wrongly rejected job candidate, a customer wrongly flagged as a fraudster) must not be rated away by netting the two together. The top severity-to-people level is anchored to the outcomes the EU AI Act calls a 'serious incident' (Art 3(49)): death or serious harm to health, serious and irreversible disruption of critical infrastructure, infringement of a fundamental-rights obligation, or serious harm to property or the environment.</t>
  </si>
  <si>
    <t xml:space="preserve">How the Risk score and Band columns are calculated</t>
  </si>
  <si>
    <t xml:space="preserve">Risk score = severity x likelihood (1-16), calculated separately for people and for the organisation. The Band is the score sorted into four bands:</t>
  </si>
  <si>
    <t xml:space="preserve">Critical</t>
  </si>
  <si>
    <t xml:space="preserve">score &gt;= 12</t>
  </si>
  <si>
    <t xml:space="preserve">High</t>
  </si>
  <si>
    <t xml:space="preserve">score &gt;= 8</t>
  </si>
  <si>
    <t xml:space="preserve">Medium</t>
  </si>
  <si>
    <t xml:space="preserve">score &gt;= 4</t>
  </si>
  <si>
    <t xml:space="preserve">Low</t>
  </si>
  <si>
    <t xml:space="preserve">score &lt; 4</t>
  </si>
  <si>
    <t xml:space="preserve">Column glossary - AI Inventory</t>
  </si>
  <si>
    <t xml:space="preserve">System ID</t>
  </si>
  <si>
    <t xml:space="preserve">Short reference code for the system (S1, S2...). Links register rows back to it.</t>
  </si>
  <si>
    <t xml:space="preserve">Name</t>
  </si>
  <si>
    <t xml:space="preserve">Plain-language name of the system.</t>
  </si>
  <si>
    <t xml:space="preserve">Status</t>
  </si>
  <si>
    <t xml:space="preserve">Lifecycle state: in use / trial / retired.</t>
  </si>
  <si>
    <t xml:space="preserve">What it does</t>
  </si>
  <si>
    <t xml:space="preserve">One sentence a lay reader would understand, describing what the system does.</t>
  </si>
  <si>
    <t xml:space="preserve">Output &amp; who acts on it</t>
  </si>
  <si>
    <t xml:space="preserve">What the system produces, and who acts on that output.</t>
  </si>
  <si>
    <t xml:space="preserve">Role (EU AI Act)</t>
  </si>
  <si>
    <t xml:space="preserve">The organisation's EU AI Act role for this system: provider, deployer, or both.</t>
  </si>
  <si>
    <t xml:space="preserve">Basis for role</t>
  </si>
  <si>
    <t xml:space="preserve">The reasoning behind the role - built in-house, bought as supplied, or bought and modified.</t>
  </si>
  <si>
    <t xml:space="preserve">Supplier</t>
  </si>
  <si>
    <t xml:space="preserve">The vendor, if the system was bought.</t>
  </si>
  <si>
    <t xml:space="preserve">Contract ref.</t>
  </si>
  <si>
    <t xml:space="preserve">Internal contract reference number.</t>
  </si>
  <si>
    <t xml:space="preserve">Technical ref. (model/version)</t>
  </si>
  <si>
    <t xml:space="preserve">The model or version identifier.</t>
  </si>
  <si>
    <t xml:space="preserve">Countries used in</t>
  </si>
  <si>
    <t xml:space="preserve">Countries where the system itself is used.</t>
  </si>
  <si>
    <t xml:space="preserve">Countries output used in</t>
  </si>
  <si>
    <t xml:space="preserve">Countries where the system's OUTPUT is acted on - this is what actually triggers the EU AI Act's reach, not where the servers sit.</t>
  </si>
  <si>
    <t xml:space="preserve">People affected</t>
  </si>
  <si>
    <t xml:space="preserve">Categories of people whose decisions the system makes or shapes.</t>
  </si>
  <si>
    <t xml:space="preserve">Data used</t>
  </si>
  <si>
    <t xml:space="preserve">Categories of data the system processes.</t>
  </si>
  <si>
    <t xml:space="preserve">ROP ref.</t>
  </si>
  <si>
    <t xml:space="preserve">Reference to the GDPR Record of Processing Activities entry for this system.</t>
  </si>
  <si>
    <t xml:space="preserve">EU AI Act tier</t>
  </si>
  <si>
    <t xml:space="preserve">Classification tier: prohibited / high-risk / transparency / none.</t>
  </si>
  <si>
    <t xml:space="preserve">EU AI Act basis</t>
  </si>
  <si>
    <t xml:space="preserve">The Annex III point or Article that grounds the classification.</t>
  </si>
  <si>
    <t xml:space="preserve">Derogation considered?</t>
  </si>
  <si>
    <t xml:space="preserve">Whether the Art 6(3) high-risk derogation was assessed. Mandatory to record for every high-risk system.</t>
  </si>
  <si>
    <t xml:space="preserve">Derogation claimed?</t>
  </si>
  <si>
    <t xml:space="preserve">Whether the derogation was actually claimed (requires an EU database registration reference).</t>
  </si>
  <si>
    <t xml:space="preserve">Duties bind from</t>
  </si>
  <si>
    <t xml:space="preserve">The date each set of legal duties starts to apply. A deferral, not an exemption.</t>
  </si>
  <si>
    <t xml:space="preserve">Applies today</t>
  </si>
  <si>
    <t xml:space="preserve">Which duties are already in force right now, regardless of any high-risk deferral (e.g. AI-literacy, transparency).</t>
  </si>
  <si>
    <t xml:space="preserve">Other law refs.</t>
  </si>
  <si>
    <t xml:space="preserve">Pointers to other jurisdictions' policies that also reach this system.</t>
  </si>
  <si>
    <t xml:space="preserve">Business owner</t>
  </si>
  <si>
    <t xml:space="preserve">The named ROLE (never a department) accountable for how the system is used.</t>
  </si>
  <si>
    <t xml:space="preserve">Technical owner</t>
  </si>
  <si>
    <t xml:space="preserve">The named role accountable for the system's technical operation.</t>
  </si>
  <si>
    <t xml:space="preserve">Found by</t>
  </si>
  <si>
    <t xml:space="preserve">Which of the five discovery sources (procurement, SaaS console, identity/expense, data platform, or asking people) found this system.</t>
  </si>
  <si>
    <t xml:space="preserve">Last verified</t>
  </si>
  <si>
    <t xml:space="preserve">Date this row was last checked for accuracy.</t>
  </si>
  <si>
    <t xml:space="preserve">Verified by</t>
  </si>
  <si>
    <t xml:space="preserve">Who checked it.</t>
  </si>
  <si>
    <t xml:space="preserve">Column glossary - AI Risk Register</t>
  </si>
  <si>
    <t xml:space="preserve">Risk ID</t>
  </si>
  <si>
    <t xml:space="preserve">Short reference code for the risk (R1, R2...).</t>
  </si>
  <si>
    <t xml:space="preserve">Links this risk back to its row in the AI Inventory sheet.</t>
  </si>
  <si>
    <t xml:space="preserve">AI system (from inventory)</t>
  </si>
  <si>
    <t xml:space="preserve">The system's name, looked up from the AI Inventory sheet by System ID.</t>
  </si>
  <si>
    <t xml:space="preserve">Raised</t>
  </si>
  <si>
    <t xml:space="preserve">Date the risk was identified.</t>
  </si>
  <si>
    <t xml:space="preserve">Raised by</t>
  </si>
  <si>
    <t xml:space="preserve">Who identified it.</t>
  </si>
  <si>
    <t xml:space="preserve">IF (cause)</t>
  </si>
  <si>
    <t xml:space="preserve">The 'IF' clause: what could go wrong, technically or operationally.</t>
  </si>
  <si>
    <t xml:space="preserve">THEN (event)</t>
  </si>
  <si>
    <t xml:space="preserve">The 'THEN' clause: what happens as a result.</t>
  </si>
  <si>
    <t xml:space="preserve">Harm - what, to whom</t>
  </si>
  <si>
    <t xml:space="preserve">The consequence stated concretely - what harm, to whom - not a category.</t>
  </si>
  <si>
    <t xml:space="preserve">Harm category</t>
  </si>
  <si>
    <t xml:space="preserve">One fixed category: wrong decision / unfair decision / uncontestable decision / data / manipulation / safety / none.</t>
  </si>
  <si>
    <t xml:space="preserve">Existing controls</t>
  </si>
  <si>
    <t xml:space="preserve">What is already in place that reduces likelihood or severity, before any new mitigation.</t>
  </si>
  <si>
    <t xml:space="preserve">Severity to people (1-4)</t>
  </si>
  <si>
    <t xml:space="preserve">Severity to the people affected, on the walkthrough's fixed 1 (low) to 4 (serious-incident outcome) scale.</t>
  </si>
  <si>
    <t xml:space="preserve">Severity to org. (1-4)</t>
  </si>
  <si>
    <t xml:space="preserve">Severity to the organisation (financial, legal, reputational), rated SEPARATELY from severity to people so one cannot mask the other.</t>
  </si>
  <si>
    <t xml:space="preserve">Likelihood (1-4)</t>
  </si>
  <si>
    <t xml:space="preserve">How likely the event is, on the same fixed 1-4 scale.</t>
  </si>
  <si>
    <t xml:space="preserve">Justification</t>
  </si>
  <si>
    <t xml:space="preserve">One line per rating (people / org / likelihood), explaining why - not just what the number is.</t>
  </si>
  <si>
    <t xml:space="preserve">Decision</t>
  </si>
  <si>
    <t xml:space="preserve">One of four choices: mitigate / accept / transfer / avoid.</t>
  </si>
  <si>
    <t xml:space="preserve">Decided by</t>
  </si>
  <si>
    <t xml:space="preserve">The named ROLE who made the decision - never a department.</t>
  </si>
  <si>
    <t xml:space="preserve">Decided on</t>
  </si>
  <si>
    <t xml:space="preserve">Date the decision was made.</t>
  </si>
  <si>
    <t xml:space="preserve">Mitigation</t>
  </si>
  <si>
    <t xml:space="preserve">The specific control being added, if the decision is 'mitigate'.</t>
  </si>
  <si>
    <t xml:space="preserve">Mitigation owner</t>
  </si>
  <si>
    <t xml:space="preserve">Who is accountable for delivering the mitigation.</t>
  </si>
  <si>
    <t xml:space="preserve">Mitigation due</t>
  </si>
  <si>
    <t xml:space="preserve">Deadline for the mitigation.</t>
  </si>
  <si>
    <t xml:space="preserve">Indicator</t>
  </si>
  <si>
    <t xml:space="preserve">The measure that would show this risk materialising.</t>
  </si>
  <si>
    <t xml:space="preserve">Indicator threshold</t>
  </si>
  <si>
    <t xml:space="preserve">The level of that measure that triggers a review.</t>
  </si>
  <si>
    <t xml:space="preserve">Watched by</t>
  </si>
  <si>
    <t xml:space="preserve">Who monitors the indicator.</t>
  </si>
  <si>
    <t xml:space="preserve">Review triggers</t>
  </si>
  <si>
    <t xml:space="preserve">The events (Step 8 of the walkthrough) that would reopen this specific risk.</t>
  </si>
  <si>
    <t xml:space="preserve">Next review</t>
  </si>
  <si>
    <t xml:space="preserve">Next scheduled review date - the calendar backstop, not the primary mechanism.</t>
  </si>
  <si>
    <t xml:space="preserve">open / mitigating / accepted / closed.</t>
  </si>
  <si>
    <t xml:space="preserve">Risk score - people</t>
  </si>
  <si>
    <t xml:space="preserve">Severity to people x likelihood (1-16).</t>
  </si>
  <si>
    <t xml:space="preserve">Band - people</t>
  </si>
  <si>
    <t xml:space="preserve">The score banded: 12-16 Critical, 8-9 High, 4-6 Medium, 1-3 Low.</t>
  </si>
  <si>
    <t xml:space="preserve">Risk score - org.</t>
  </si>
  <si>
    <t xml:space="preserve">Severity to organisation x likelihood (1-16).</t>
  </si>
  <si>
    <t xml:space="preserve">Band - org.</t>
  </si>
  <si>
    <t xml:space="preserve">The organisation score banded the same way.</t>
  </si>
  <si>
    <t xml:space="preserve">Decision, status and harm-category values</t>
  </si>
  <si>
    <t xml:space="preserve">Decision: mitigate / accept / transfer / avoid. A severity-to-people 4 risk cannot simply be accepted.</t>
  </si>
  <si>
    <t xml:space="preserve">Status: open / mitigating / accepted / closed.</t>
  </si>
  <si>
    <t xml:space="preserve">Harm category: wrong decision / unfair decision / uncontestable decision / data / manipulation / safety / none.</t>
  </si>
  <si>
    <t xml:space="preserve">Role: provider / deployer / both.</t>
  </si>
  <si>
    <t xml:space="preserve">EU AI Act tier: prohibited / high-risk / transparency / none.</t>
  </si>
  <si>
    <t xml:space="preserve">Source and verification</t>
  </si>
  <si>
    <t xml:space="preserve">Data: AI_Risk_Register_Worked_Example.md and the companion CSVs, part of the AI Governance Series, Part 4 (AI risk registers and model inventories). EU AI Act positions verified against the consolidated text of 27 July 2026 (CELEX 02024R1689-20260727) - see the research note and source register for citations and verification dates. Working draft status and any open gates are stated in the walkthrough's own header.</t>
  </si>
  <si>
    <t xml:space="preserve">Summary</t>
  </si>
  <si>
    <t xml:space="preserve">Live counts, calculated from the AI Risk Register sheet.</t>
  </si>
  <si>
    <t xml:space="preserve">Residual band - severity to people x likelihood</t>
  </si>
  <si>
    <t xml:space="preserve">Band</t>
  </si>
  <si>
    <t xml:space="preserve">Count</t>
  </si>
  <si>
    <t xml:space="preserve">Share of all risks</t>
  </si>
  <si>
    <t xml:space="preserve">Total risks</t>
  </si>
  <si>
    <t xml:space="preserve">Per system</t>
  </si>
  <si>
    <t xml:space="preserve">Risks</t>
  </si>
  <si>
    <t xml:space="preserve">Highest severity to people</t>
  </si>
  <si>
    <t xml:space="preserve">Open mitigations</t>
  </si>
  <si>
    <t xml:space="preserve">Note: 'Open mitigations' checks decision = mitigate and status &lt;&gt; closed on each system's rows.</t>
  </si>
  <si>
    <t xml:space="preserve">AI Inventory</t>
  </si>
  <si>
    <t xml:space="preserve">Marsa Retail Group (synthetic) - worked example, six systems</t>
  </si>
  <si>
    <t xml:space="preserve">S1</t>
  </si>
  <si>
    <t xml:space="preserve">Customer service assistant</t>
  </si>
  <si>
    <t xml:space="preserve">in use</t>
  </si>
  <si>
    <t xml:space="preserve">Answers customer questions about orders and returns on the website and app and drafts replies for agents</t>
  </si>
  <si>
    <t xml:space="preserve">Answers shown to customers directly and drafts for agents; customers act on answers</t>
  </si>
  <si>
    <t xml:space="preserve">deployer</t>
  </si>
  <si>
    <t xml:space="preserve">Bought and used as supplied; group has changed prompts and knowledge base only</t>
  </si>
  <si>
    <t xml:space="preserve">Helix Assist (synthetic)</t>
  </si>
  <si>
    <t xml:space="preserve">CON-2025-031</t>
  </si>
  <si>
    <t xml:space="preserve">Helix Assist v4 on vendor-hosted general-purpose model</t>
  </si>
  <si>
    <t xml:space="preserve">GB, BH, SA, AE, IN, SG, AU, NL</t>
  </si>
  <si>
    <t xml:space="preserve">Customers of the group</t>
  </si>
  <si>
    <t xml:space="preserve">Chat transcripts, order references, delivery addresses</t>
  </si>
  <si>
    <t xml:space="preserve">ROP-017</t>
  </si>
  <si>
    <t xml:space="preserve">transparency</t>
  </si>
  <si>
    <t xml:space="preserve">Art 50(1) - system intended to interact directly with natural persons; provider design duty; deployer must not remove the disclosure</t>
  </si>
  <si>
    <t xml:space="preserve">no</t>
  </si>
  <si>
    <t xml:space="preserve">2026-08-02 (transparency); AI literacy 2025-02-02</t>
  </si>
  <si>
    <t xml:space="preserve">AI literacy; transparency</t>
  </si>
  <si>
    <t xml:space="preserve">Part 1 policies: UK; BH; SA; AE; IN; SG; AU; EU (data protection and transparency)</t>
  </si>
  <si>
    <t xml:space="preserve">Head of Customer Operations</t>
  </si>
  <si>
    <t xml:space="preserve">Digital Platforms Lead</t>
  </si>
  <si>
    <t xml:space="preserve">procurement</t>
  </si>
  <si>
    <t xml:space="preserve">2026-09-14</t>
  </si>
  <si>
    <t xml:space="preserve">AI governance lead</t>
  </si>
  <si>
    <t xml:space="preserve">S2</t>
  </si>
  <si>
    <t xml:space="preserve">Candidate screening tool</t>
  </si>
  <si>
    <t xml:space="preserve">Ranks and filters job applications against the vacancy before a recruiter sees them</t>
  </si>
  <si>
    <t xml:space="preserve">Ranked shortlist to recruiters; applications below a rank threshold are rejected automatically</t>
  </si>
  <si>
    <t xml:space="preserve">Bought and used as supplied; role-drift request (promotion ranking) withdrawn 2026-09-10</t>
  </si>
  <si>
    <t xml:space="preserve">TalentRank (synthetic)</t>
  </si>
  <si>
    <t xml:space="preserve">CON-2024-112</t>
  </si>
  <si>
    <t xml:space="preserve">TalentRank SaaS release 2026.3</t>
  </si>
  <si>
    <t xml:space="preserve">Job applicants including applicants to the EU subsidiary; employees if the promotion feature had been enabled</t>
  </si>
  <si>
    <t xml:space="preserve">CVs, application forms, assessment scores</t>
  </si>
  <si>
    <t xml:space="preserve">ROP-041</t>
  </si>
  <si>
    <t xml:space="preserve">high-risk</t>
  </si>
  <si>
    <t xml:space="preserve">Annex III point 4(a) - recruitment or selection: analyse and filter job applications and evaluate candidates</t>
  </si>
  <si>
    <t xml:space="preserve">yes</t>
  </si>
  <si>
    <t xml:space="preserve">2027-12-02 (high-risk); AI literacy 2025-02-02</t>
  </si>
  <si>
    <t xml:space="preserve">AI literacy</t>
  </si>
  <si>
    <t xml:space="preserve">Part 1 policies: UK; BH; SA; AE; IN; SG; AU; EU (data protection incl. automated decisions and DPIA)</t>
  </si>
  <si>
    <t xml:space="preserve">Group HR Director</t>
  </si>
  <si>
    <t xml:space="preserve">HR Systems Manager</t>
  </si>
  <si>
    <t xml:space="preserve">S3</t>
  </si>
  <si>
    <t xml:space="preserve">Payment fraud detection</t>
  </si>
  <si>
    <t xml:space="preserve">Scores each e-commerce order for fraud risk and holds orders above a threshold for review</t>
  </si>
  <si>
    <t xml:space="preserve">Hold or release decision; holds go to the payments team; releases are automatic</t>
  </si>
  <si>
    <t xml:space="preserve">both</t>
  </si>
  <si>
    <t xml:space="preserve">Built in-house and used in-house</t>
  </si>
  <si>
    <t xml:space="preserve">none</t>
  </si>
  <si>
    <t xml:space="preserve">n/a</t>
  </si>
  <si>
    <t xml:space="preserve">fraud-gbm v7 (in-house)</t>
  </si>
  <si>
    <t xml:space="preserve">GB, SA, AE, SG, AU, NL</t>
  </si>
  <si>
    <t xml:space="preserve">Customers of the e-commerce sites</t>
  </si>
  <si>
    <t xml:space="preserve">Order, payment, device and delivery data</t>
  </si>
  <si>
    <t xml:space="preserve">ROP-009</t>
  </si>
  <si>
    <t xml:space="preserve">Not listed in Annex III (fraud detection is not a listed use; the 5(b) credit-scoring listing expressly excludes financial fraud detection). Not a prohibited practice. Not a transparency case</t>
  </si>
  <si>
    <t xml:space="preserve">AI literacy 2025-02-02</t>
  </si>
  <si>
    <t xml:space="preserve">Part 1 policies: UK; SA; AE; SG; AU; EU (profiling and automated decisions)</t>
  </si>
  <si>
    <t xml:space="preserve">Head of Payments</t>
  </si>
  <si>
    <t xml:space="preserve">Data Science Lead</t>
  </si>
  <si>
    <t xml:space="preserve">data platform</t>
  </si>
  <si>
    <t xml:space="preserve">S4</t>
  </si>
  <si>
    <t xml:space="preserve">Demand forecasting</t>
  </si>
  <si>
    <t xml:space="preserve">Forecasts weekly demand per product per store to drive replenishment orders</t>
  </si>
  <si>
    <t xml:space="preserve">Replenishment quantities to the supply chain team; orders placed automatically below a value threshold</t>
  </si>
  <si>
    <t xml:space="preserve">forecast-v3 (in-house)</t>
  </si>
  <si>
    <t xml:space="preserve">None - no decisions about natural persons</t>
  </si>
  <si>
    <t xml:space="preserve">Sales history, stock levels, calendar and promotions data</t>
  </si>
  <si>
    <t xml:space="preserve">Not listed; no natural persons subject to its output</t>
  </si>
  <si>
    <t xml:space="preserve">Head of Supply Chain</t>
  </si>
  <si>
    <t xml:space="preserve">S5</t>
  </si>
  <si>
    <t xml:space="preserve">Personalisation and promotions engine</t>
  </si>
  <si>
    <t xml:space="preserve">Selects which offers and prices each customer sees on the e-commerce sites and in email</t>
  </si>
  <si>
    <t xml:space="preserve">Offer and price shown to each customer; no human in the loop</t>
  </si>
  <si>
    <t xml:space="preserve">Bought and used as supplied; group supplies its own customer features</t>
  </si>
  <si>
    <t xml:space="preserve">Lumen Offers (synthetic)</t>
  </si>
  <si>
    <t xml:space="preserve">MKT-2025-007 (marketing contract; not in the procurement AI list)</t>
  </si>
  <si>
    <t xml:space="preserve">Lumen Offers cloud; vendor model</t>
  </si>
  <si>
    <t xml:space="preserve">Browsing, purchase history, device, location, loyalty data</t>
  </si>
  <si>
    <t xml:space="preserve">ROP-022</t>
  </si>
  <si>
    <t xml:space="preserve">Not listed in Annex III. Screened against Art 5(1)(a) and (b): urgency-prompt feature targeting behavioural signals could approach the vulnerability-exploitation prohibition if it targets a specific social or economic situation and causes significant harm; feature disabled pending assessment (R16)</t>
  </si>
  <si>
    <t xml:space="preserve">Part 1 policies: UK; SA; AE; SG; AU; EU (profiling; consumer-law disclosure of personalised pricing - not verified for this artifact)</t>
  </si>
  <si>
    <t xml:space="preserve">Chief Marketing Officer</t>
  </si>
  <si>
    <t xml:space="preserve">Marketing Technology Lead</t>
  </si>
  <si>
    <t xml:space="preserve">function questionnaire</t>
  </si>
  <si>
    <t xml:space="preserve">S6</t>
  </si>
  <si>
    <t xml:space="preserve">Shift optimiser</t>
  </si>
  <si>
    <t xml:space="preserve">Allocates shifts to store staff using availability and individual performance scores inside the workforce management suite</t>
  </si>
  <si>
    <t xml:space="preserve">Published rota; store managers may edit before publishing but rarely do</t>
  </si>
  <si>
    <t xml:space="preserve">Bought as part of the workforce management suite; feature enabled by vendor update 2025-07; not reviewed at the time</t>
  </si>
  <si>
    <t xml:space="preserve">ShiftWise (synthetic)</t>
  </si>
  <si>
    <t xml:space="preserve">CON-2023-058 (workforce management; AI feature not in the contract description)</t>
  </si>
  <si>
    <t xml:space="preserve">ShiftWise WFM 11.2 - Optimise module</t>
  </si>
  <si>
    <t xml:space="preserve">Store employees including employees of the EU subsidiary</t>
  </si>
  <si>
    <t xml:space="preserve">Availability, contracted hours, sales-per-hour and attendance scores</t>
  </si>
  <si>
    <t xml:space="preserve">ROP-033 (does not yet mention the optimiser)</t>
  </si>
  <si>
    <t xml:space="preserve">Annex III point 4(b) - decisions affecting terms of work-related relationships and allocation of tasks based on individual behaviour or characteristics; applies to the EU subsidiary's use</t>
  </si>
  <si>
    <t xml:space="preserve">Part 1 policies: UK; BH; SA; AE; IN; SG; AU; EU (employee data; works council information)</t>
  </si>
  <si>
    <t xml:space="preserve">Group Retail Operations Director</t>
  </si>
  <si>
    <t xml:space="preserve">Workforce Systems Manager</t>
  </si>
  <si>
    <t xml:space="preserve">SaaS console sweep</t>
  </si>
  <si>
    <t xml:space="preserve">AI Risk Register</t>
  </si>
  <si>
    <t xml:space="preserve">Twenty-two risks across the six systems above</t>
  </si>
  <si>
    <t xml:space="preserve">R1</t>
  </si>
  <si>
    <t xml:space="preserve">the assistant states a returns or refund rule that is not the group's policy</t>
  </si>
  <si>
    <t xml:space="preserve">customers act on it and are refused at the store or online</t>
  </si>
  <si>
    <t xml:space="preserve">financial loss to the customer - recoverable on complaint</t>
  </si>
  <si>
    <t xml:space="preserve">wrong decision</t>
  </si>
  <si>
    <t xml:space="preserve">Knowledge base reviewed monthly; agents can override</t>
  </si>
  <si>
    <t xml:space="preserve">People 2: loss is recoverable on complaint. Org 2: complaint volume and goodwill refunds. Likelihood 3: two confirmed cases in the last quarter</t>
  </si>
  <si>
    <t xml:space="preserve">mitigate</t>
  </si>
  <si>
    <t xml:space="preserve">2026-09-16</t>
  </si>
  <si>
    <t xml:space="preserve">Policy answers grounded to the published policy pages only; assistant declines to state refund amounts; weekly sample review of 50 policy answers</t>
  </si>
  <si>
    <t xml:space="preserve">2026-11-30</t>
  </si>
  <si>
    <t xml:space="preserve">Complaints tagged 'assistant gave wrong policy' per month</t>
  </si>
  <si>
    <t xml:space="preserve">More than 3 per month</t>
  </si>
  <si>
    <t xml:space="preserve">Customer Operations quality lead</t>
  </si>
  <si>
    <t xml:space="preserve">vendor model update; policy change; complaint pattern</t>
  </si>
  <si>
    <t xml:space="preserve">2026-12-14</t>
  </si>
  <si>
    <t xml:space="preserve">mitigating</t>
  </si>
  <si>
    <t xml:space="preserve">R2</t>
  </si>
  <si>
    <t xml:space="preserve">Privacy officer</t>
  </si>
  <si>
    <t xml:space="preserve">customers paste card numbers or full order and address details into the chat</t>
  </si>
  <si>
    <t xml:space="preserve">transcripts containing that data are retained by the vendor beyond the contracted purpose and period</t>
  </si>
  <si>
    <t xml:space="preserve">disclosure of customers' personal and payment data</t>
  </si>
  <si>
    <t xml:space="preserve">data</t>
  </si>
  <si>
    <t xml:space="preserve">Contract clause on transcript retention (90 days); no input filtering</t>
  </si>
  <si>
    <t xml:space="preserve">People 3: disclosure of payment data. Org 3: data protection enforcement in any of eight jurisdictions. Likelihood 2: vendor retention confirmed contractually; no breach known</t>
  </si>
  <si>
    <t xml:space="preserve">Input redaction of card patterns before transmission; transcript retention reduced to 30 days; annual vendor attestation</t>
  </si>
  <si>
    <t xml:space="preserve">2026-12-31</t>
  </si>
  <si>
    <t xml:space="preserve">Redaction hits per week (card patterns caught)</t>
  </si>
  <si>
    <t xml:space="preserve">Any unredacted card pattern found in vendor-side sample</t>
  </si>
  <si>
    <t xml:space="preserve">vendor contract change; vendor incident notice; retention audit</t>
  </si>
  <si>
    <t xml:space="preserve">R3</t>
  </si>
  <si>
    <t xml:space="preserve">a website or app redesign removes or hides the 'you are talking to an AI assistant' notice</t>
  </si>
  <si>
    <t xml:space="preserve">customers are not told they are interacting with an AI system</t>
  </si>
  <si>
    <t xml:space="preserve">customers cannot calibrate trust in what they are told; transparency-duty breach</t>
  </si>
  <si>
    <t xml:space="preserve">manipulation</t>
  </si>
  <si>
    <t xml:space="preserve">Notice present today; no change control on it</t>
  </si>
  <si>
    <t xml:space="preserve">People 2: customers misled about who they are talking to. Org 3: transparency duty in force since 2 Aug 2026. Likelihood 2: redesign scheduled Q1 2027</t>
  </si>
  <si>
    <t xml:space="preserve">Notice added to the release checklist as a required element; automated UI test asserts its presence</t>
  </si>
  <si>
    <t xml:space="preserve">2026-10-31</t>
  </si>
  <si>
    <t xml:space="preserve">UI test result per release</t>
  </si>
  <si>
    <t xml:space="preserve">Any failure</t>
  </si>
  <si>
    <t xml:space="preserve">UI release; vendor UI change</t>
  </si>
  <si>
    <t xml:space="preserve">2027-03-14</t>
  </si>
  <si>
    <t xml:space="preserve">R4</t>
  </si>
  <si>
    <t xml:space="preserve">the vendor changes the underlying model without notice</t>
  </si>
  <si>
    <t xml:space="preserve">answer quality and tone change and the group's tests no longer describe the system in use</t>
  </si>
  <si>
    <t xml:space="preserve">customers receive worse or different answers; the group's records describe a system that no longer exists</t>
  </si>
  <si>
    <t xml:space="preserve">Vendor notifies 'material changes' under the contract; term undefined</t>
  </si>
  <si>
    <t xml:space="preserve">People 2: answer quality. Org 2: records out of date. Likelihood 3: vendor has changed the base model twice in 18 months</t>
  </si>
  <si>
    <t xml:space="preserve">Contract addendum defining model change as a material change with 30 days' notice; regression test set of 200 questions re-run on notice</t>
  </si>
  <si>
    <t xml:space="preserve">2027-01-31</t>
  </si>
  <si>
    <t xml:space="preserve">Regression pass rate after each notified change</t>
  </si>
  <si>
    <t xml:space="preserve">Below 95%</t>
  </si>
  <si>
    <t xml:space="preserve">vendor model update; contract renewal</t>
  </si>
  <si>
    <t xml:space="preserve">R5</t>
  </si>
  <si>
    <t xml:space="preserve">the tool's training data reflects the historical gender balance of store and sales roles</t>
  </si>
  <si>
    <t xml:space="preserve">women applying for sales roles are ranked lower than men with equivalent qualifications</t>
  </si>
  <si>
    <t xml:space="preserve">qualified candidates rejected without a human seeing the application; potential unlawful discrimination</t>
  </si>
  <si>
    <t xml:space="preserve">unfair decision</t>
  </si>
  <si>
    <t xml:space="preserve">Vendor's fairness statement (no test data supplied); no group-side testing</t>
  </si>
  <si>
    <t xml:space="preserve">People 4: unlawful discriminatory rejection would infringe Union-law obligations protecting fundamental rights - a serious-incident outcome. Org 3: equality-law and AI Act enforcement. Likelihood 3: no evidence either way; the vendor's statement is untested and the training population is known to be skewed</t>
  </si>
  <si>
    <t xml:space="preserve">Bias test on the last 12 months of group applications using the Part 3 protocol; vendor asked for per-group performance figures under the instructions-for-use duty; rank threshold suspended for sales roles until results are in</t>
  </si>
  <si>
    <t xml:space="preserve">Shortlist rate by sex per role family</t>
  </si>
  <si>
    <t xml:space="preserve">Ratio below 0.80 or gap above 10 points</t>
  </si>
  <si>
    <t xml:space="preserve">retrain or vendor update; new role family; complaint; quarterly</t>
  </si>
  <si>
    <t xml:space="preserve">R6</t>
  </si>
  <si>
    <t xml:space="preserve">applications below the rank threshold are rejected automatically with no recruiter review</t>
  </si>
  <si>
    <t xml:space="preserve">rejection decisions are solely automated</t>
  </si>
  <si>
    <t xml:space="preserve">candidates cannot contest a decision no person made; automated-decision rights engaged for EU applicants</t>
  </si>
  <si>
    <t xml:space="preserve">uncontestable decision</t>
  </si>
  <si>
    <t xml:space="preserve">None - threshold rejection has been on since 2024</t>
  </si>
  <si>
    <t xml:space="preserve">People 4: a solely automated rejection without the safeguards data protection law requires would infringe Union-law obligations protecting fundamental rights. Org 3: data protection enforcement. Likelihood 4: it is happening now</t>
  </si>
  <si>
    <t xml:space="preserve">Automatic rejection switched off; below-threshold applications reviewed by a recruiter with a stated minimum time; rejection notice includes the route to ask for reconsideration</t>
  </si>
  <si>
    <t xml:space="preserve">2026-10-15</t>
  </si>
  <si>
    <t xml:space="preserve">Share of rejections with a recorded recruiter review</t>
  </si>
  <si>
    <t xml:space="preserve">Below 100%</t>
  </si>
  <si>
    <t xml:space="preserve">process change; vendor update; quarterly</t>
  </si>
  <si>
    <t xml:space="preserve">R7</t>
  </si>
  <si>
    <t xml:space="preserve">the instructions for use and the provider's EU database registration are not obtained before the high-risk duties bind</t>
  </si>
  <si>
    <t xml:space="preserve">the group uses a high-risk system without the instructions the deployer duties are framed around</t>
  </si>
  <si>
    <t xml:space="preserve">candidates subject to a system used outside its assessed conditions; deployer in breach from 2 Dec 2027</t>
  </si>
  <si>
    <t xml:space="preserve">None</t>
  </si>
  <si>
    <t xml:space="preserve">People 2: indirect. Org 3: deployer duties unmet on the binding date. Likelihood 3: vendor has not yet answered the request</t>
  </si>
  <si>
    <t xml:space="preserve">Written request to the vendor for instructions for use and registration timetable; contract renewal made conditional on both; fallback assessment of alternative tools by mid-2027</t>
  </si>
  <si>
    <t xml:space="preserve">2027-06-30</t>
  </si>
  <si>
    <t xml:space="preserve">Vendor response received</t>
  </si>
  <si>
    <t xml:space="preserve">Not received by 2027-03-31</t>
  </si>
  <si>
    <t xml:space="preserve">vendor response; law or guidance change; 2027-06-30</t>
  </si>
  <si>
    <t xml:space="preserve">open</t>
  </si>
  <si>
    <t xml:space="preserve">R8</t>
  </si>
  <si>
    <t xml:space="preserve">2026-09-10</t>
  </si>
  <si>
    <t xml:space="preserve">HR enables the vendor's proposed promotion-ranking feature configured on the group's own criteria</t>
  </si>
  <si>
    <t xml:space="preserve">the group becomes the provider of a high-risk system (promotion decisions) that no one has assessed</t>
  </si>
  <si>
    <t xml:space="preserve">employees ranked for promotion by an unassessed system; provider duties inherited without a quality management system</t>
  </si>
  <si>
    <t xml:space="preserve">Feature request withdrawn 2026-09-10</t>
  </si>
  <si>
    <t xml:space="preserve">People 3: lasting effect on employees' careers. Org 3: provider duties without the means to meet them. Likelihood 2: withdrawn; could be re-raised</t>
  </si>
  <si>
    <t xml:space="preserve">avoid</t>
  </si>
  <si>
    <t xml:space="preserve">Feature not enabled; any future promotion tooling goes through the inventory as a new system with its own classification</t>
  </si>
  <si>
    <t xml:space="preserve">New-system requests naming promotion or performance</t>
  </si>
  <si>
    <t xml:space="preserve">Any</t>
  </si>
  <si>
    <t xml:space="preserve">new use requested</t>
  </si>
  <si>
    <t xml:space="preserve">closed</t>
  </si>
  <si>
    <t xml:space="preserve">R9</t>
  </si>
  <si>
    <t xml:space="preserve">EU applicants are not told that an AI system is used to filter their application</t>
  </si>
  <si>
    <t xml:space="preserve">applicants are unaware and cannot exercise their rights</t>
  </si>
  <si>
    <t xml:space="preserve">candidates uninformed; deployer information duty unmet from 2 Dec 2027 and data-protection transparency unmet now</t>
  </si>
  <si>
    <t xml:space="preserve">Privacy notice mentions 'automated tools' generically</t>
  </si>
  <si>
    <t xml:space="preserve">People 2: awareness. Org 2: notice deficiency. Likelihood 3: current notice is generic</t>
  </si>
  <si>
    <t xml:space="preserve">Application-form notice naming the tool and its role; privacy notice updated</t>
  </si>
  <si>
    <t xml:space="preserve">Notice present on all application routes</t>
  </si>
  <si>
    <t xml:space="preserve">Any route without it</t>
  </si>
  <si>
    <t xml:space="preserve">new application route; law or guidance change</t>
  </si>
  <si>
    <t xml:space="preserve">R10</t>
  </si>
  <si>
    <t xml:space="preserve">the model's false-positive rate is higher for first-time customers and for deliveries to certain postcode bands</t>
  </si>
  <si>
    <t xml:space="preserve">legitimate orders from those customers are held for review more often</t>
  </si>
  <si>
    <t xml:space="preserve">delay and refusal for legitimate customers concentrated in identifiable groups</t>
  </si>
  <si>
    <t xml:space="preserve">Held orders reviewed by the payments team within 24 hours</t>
  </si>
  <si>
    <t xml:space="preserve">People 2: delay; recoverable. Org 2: lost sales and complaints. Likelihood 3: hold rate for first-time customers is 3.1 times the base rate</t>
  </si>
  <si>
    <t xml:space="preserve">Hold rate and false-positive rate monitored by customer tenure and postcode band; threshold reviewed against the Part 3 protocol quarterly</t>
  </si>
  <si>
    <t xml:space="preserve">False-positive rate by tenure and postcode band</t>
  </si>
  <si>
    <t xml:space="preserve">Any band above 2 times the overall rate</t>
  </si>
  <si>
    <t xml:space="preserve">retrain; threshold change; quarterly</t>
  </si>
  <si>
    <t xml:space="preserve">R11</t>
  </si>
  <si>
    <t xml:space="preserve">a new fraud pattern emerges that the training data does not contain</t>
  </si>
  <si>
    <t xml:space="preserve">fraud losses rise until the model is retrained</t>
  </si>
  <si>
    <t xml:space="preserve">financial loss to the group</t>
  </si>
  <si>
    <t xml:space="preserve">Monthly retrain; chargeback monitoring</t>
  </si>
  <si>
    <t xml:space="preserve">People 1: no harm to customers from a miss. Org 3: chargeback losses. Likelihood 3: pattern shifts seen twice a year</t>
  </si>
  <si>
    <t xml:space="preserve">accept</t>
  </si>
  <si>
    <t xml:space="preserve">n/a - accepted with monthly retrain and chargeback monitoring as existing controls</t>
  </si>
  <si>
    <t xml:space="preserve">Chargeback rate per week</t>
  </si>
  <si>
    <t xml:space="preserve">Above 0.4% for two consecutive weeks</t>
  </si>
  <si>
    <t xml:space="preserve">chargeback spike; quarterly</t>
  </si>
  <si>
    <t xml:space="preserve">accepted</t>
  </si>
  <si>
    <t xml:space="preserve">R12</t>
  </si>
  <si>
    <t xml:space="preserve">a held order is cancelled automatically after 48 hours without a person reviewing it</t>
  </si>
  <si>
    <t xml:space="preserve">the cancellation is a solely automated decision</t>
  </si>
  <si>
    <t xml:space="preserve">EU customers lose an order with no human involvement and no route to contest</t>
  </si>
  <si>
    <t xml:space="preserve">Payments team reviews holds within 24 hours in practice; auto-cancel remains configured</t>
  </si>
  <si>
    <t xml:space="preserve">People 2: order loss; recoverable. Org 2: automated-decision rules. Likelihood 2: reviews are usually completed in time</t>
  </si>
  <si>
    <t xml:space="preserve">Auto-cancel disabled; unreviewed holds escalate to a person instead</t>
  </si>
  <si>
    <t xml:space="preserve">Count of auto-cancelled orders per week</t>
  </si>
  <si>
    <t xml:space="preserve">process change</t>
  </si>
  <si>
    <t xml:space="preserve">R13</t>
  </si>
  <si>
    <t xml:space="preserve">the model over- or under-forecasts for a product category</t>
  </si>
  <si>
    <t xml:space="preserve">stock-outs or overstock at store level</t>
  </si>
  <si>
    <t xml:space="preserve">cost to the group; no decision about any natural person</t>
  </si>
  <si>
    <t xml:space="preserve">Forecast accuracy reviewed monthly; buyer override</t>
  </si>
  <si>
    <t xml:space="preserve">People 1: none. Org 2: margin and waste. Likelihood 3: category-level misses each season</t>
  </si>
  <si>
    <t xml:space="preserve">n/a - accepted; forecast accuracy review continues</t>
  </si>
  <si>
    <t xml:space="preserve">Weighted forecast error by category</t>
  </si>
  <si>
    <t xml:space="preserve">Above 25% for a category for two months</t>
  </si>
  <si>
    <t xml:space="preserve">model change; annual</t>
  </si>
  <si>
    <t xml:space="preserve">2027-09-14</t>
  </si>
  <si>
    <t xml:space="preserve">R14</t>
  </si>
  <si>
    <t xml:space="preserve">offers and prices vary on features that proxy protected characteristics (postcode band; device type; name-derived signals)</t>
  </si>
  <si>
    <t xml:space="preserve">customers in some groups systematically see higher prices or fewer offers</t>
  </si>
  <si>
    <t xml:space="preserve">indirect discrimination in price; loss to those customers over time</t>
  </si>
  <si>
    <t xml:space="preserve">None - engine optimises on conversion only</t>
  </si>
  <si>
    <t xml:space="preserve">People 3: lasting price disadvantage for identifiable groups. Org 3: equality and consumer-law exposure. Likelihood 3: the features are in the model and no test has been run</t>
  </si>
  <si>
    <t xml:space="preserve">Proxy test on the engine's features (Part 3 step 4); postcode band and device removed from price decisions pending result; offer distribution by group reported monthly</t>
  </si>
  <si>
    <t xml:space="preserve">Average price index by postcode band and device</t>
  </si>
  <si>
    <t xml:space="preserve">Any band more than 3% from the mean</t>
  </si>
  <si>
    <t xml:space="preserve">feature change; vendor update; quarterly</t>
  </si>
  <si>
    <t xml:space="preserve">R15</t>
  </si>
  <si>
    <t xml:space="preserve">customers are not told that the price they see is personalised</t>
  </si>
  <si>
    <t xml:space="preserve">customers cannot compare or contest a personalised price</t>
  </si>
  <si>
    <t xml:space="preserve">customers misled about the basis of the price; disclosure duties under consumer law may be engaged (not verified for this artifact)</t>
  </si>
  <si>
    <t xml:space="preserve">People 2: informed choice. Org 3: consumer-law exposure in the EU (to be verified). Likelihood 3: no disclosure exists</t>
  </si>
  <si>
    <t xml:space="preserve">Legal verification of disclosure duties per jurisdiction; disclosure text added where required; personalised pricing switched off for the EU site until verified</t>
  </si>
  <si>
    <t xml:space="preserve">EU site personalised pricing state</t>
  </si>
  <si>
    <t xml:space="preserve">Enabled without verified disclosure</t>
  </si>
  <si>
    <t xml:space="preserve">legal verification; law change</t>
  </si>
  <si>
    <t xml:space="preserve">R16</t>
  </si>
  <si>
    <t xml:space="preserve">the engine's urgency-prompt feature targets customers showing behavioural signals (late-night sessions; repeated returns to a basket)</t>
  </si>
  <si>
    <t xml:space="preserve">customers in a vulnerable situation are pushed to purchase</t>
  </si>
  <si>
    <t xml:space="preserve">manipulation of a person in a specific social or economic situation causing them financial harm - could approach a prohibited practice</t>
  </si>
  <si>
    <t xml:space="preserve">Feature disabled 2026-09-14 pending assessment</t>
  </si>
  <si>
    <t xml:space="preserve">People 2: financial harm from a purchase they would not otherwise have made. Org 4: if the practice met the prohibition it would be unlawful outright. Likelihood 2: feature is off; assessment pending</t>
  </si>
  <si>
    <t xml:space="preserve">Feature stays disabled; any re-enablement requires a documented assessment against the prohibited-practice tests and sign-off by legal</t>
  </si>
  <si>
    <t xml:space="preserve">Feature state in vendor console</t>
  </si>
  <si>
    <t xml:space="preserve">Enabled</t>
  </si>
  <si>
    <t xml:space="preserve">vendor update; re-enablement request</t>
  </si>
  <si>
    <t xml:space="preserve">R17</t>
  </si>
  <si>
    <t xml:space="preserve">the performance score used for allocation is sales per hour unadjusted for shift timing and section</t>
  </si>
  <si>
    <t xml:space="preserve">staff who work quieter shifts or sections - disproportionately part-time staff with caring responsibilities - score lower and are allocated fewer and worse shifts</t>
  </si>
  <si>
    <t xml:space="preserve">loss of income and lasting effect on work terms concentrated in a group defined by a protected characteristic; potential unlawful indirect discrimination</t>
  </si>
  <si>
    <t xml:space="preserve">Managers can edit the rota; edits are rare</t>
  </si>
  <si>
    <t xml:space="preserve">People 4: unlawful discriminatory allocation would infringe Union-law obligations protecting fundamental rights - a serious-incident outcome for EU stores. Org 3: employment and equality exposure in every jurisdiction. Likelihood 3: the score is unadjusted by design and the part-time population is known</t>
  </si>
  <si>
    <t xml:space="preserve">Performance score removed from allocation inputs; allocation on availability and contracted hours only until a fair score is designed and tested; rota edits by managers logged</t>
  </si>
  <si>
    <t xml:space="preserve">Average weekly hours by contract type and sex</t>
  </si>
  <si>
    <t xml:space="preserve">Gap above 10% between full-time and part-time staff of equal contracted hours</t>
  </si>
  <si>
    <t xml:space="preserve">score redesign; vendor update; quarterly</t>
  </si>
  <si>
    <t xml:space="preserve">R18</t>
  </si>
  <si>
    <t xml:space="preserve">the optimiser is used in EU stores without instructions for use on file; without assigned human oversight; and without informing workers' representatives</t>
  </si>
  <si>
    <t xml:space="preserve">from 2 Dec 2027 the EU subsidiary is a deployer of a high-risk system in breach of the deployer duties</t>
  </si>
  <si>
    <t xml:space="preserve">employees subject to a high-risk system without the safeguards the law attaches to it</t>
  </si>
  <si>
    <t xml:space="preserve">None - the feature was never reviewed</t>
  </si>
  <si>
    <t xml:space="preserve">People 3: lasting effect on work terms without safeguards. Org 3: deployer breach on the binding date. Likelihood 4: every condition is currently unmet</t>
  </si>
  <si>
    <t xml:space="preserve">Instructions for use and registration status requested from the vendor; store managers designated as oversight with training and a documented right to override; EU works council informed before any further use; decision on continued EU use recorded by 2027-06-30</t>
  </si>
  <si>
    <t xml:space="preserve">Three conditions met (instructions on file; oversight assigned and trained; works council informed)</t>
  </si>
  <si>
    <t xml:space="preserve">Any unmet by 2027-06-30</t>
  </si>
  <si>
    <t xml:space="preserve">vendor response; works council response; law or guidance change; 2027-06-30</t>
  </si>
  <si>
    <t xml:space="preserve">R19</t>
  </si>
  <si>
    <t xml:space="preserve">the vendor update that enabled the optimiser also enabled attendance and performance monitoring features that were never reviewed</t>
  </si>
  <si>
    <t xml:space="preserve">employees are monitored and evaluated by features the group has not assessed or told them about</t>
  </si>
  <si>
    <t xml:space="preserve">undisclosed monitoring of employees; data protection and employment-law duties unmet</t>
  </si>
  <si>
    <t xml:space="preserve">People 3: undisclosed evaluation. Org 3: employee data protection in every jurisdiction. Likelihood 3: features are on; extent unknown</t>
  </si>
  <si>
    <t xml:space="preserve">Full feature review of the workforce suite; unreviewed features disabled; record of processing updated; employees informed of the features retained</t>
  </si>
  <si>
    <t xml:space="preserve">Enabled features against the reviewed list</t>
  </si>
  <si>
    <t xml:space="preserve">Any enabled feature not on the reviewed list</t>
  </si>
  <si>
    <t xml:space="preserve">vendor update; quarterly</t>
  </si>
  <si>
    <t xml:space="preserve">R20</t>
  </si>
  <si>
    <t xml:space="preserve">the digital team extends the assistant to approve or refuse refunds itself rather than draft for an agent</t>
  </si>
  <si>
    <t xml:space="preserve">the group has changed the system's intended purpose and may have become its provider for that use</t>
  </si>
  <si>
    <t xml:space="preserve">customers subject to automated refund decisions nobody assessed; provider duties inherited without notice</t>
  </si>
  <si>
    <t xml:space="preserve">Change control on prompts and knowledge base; no rule on purpose changes</t>
  </si>
  <si>
    <t xml:space="preserve">People 2: refund decisions are recoverable. Org 2: role change without the records to support it. Likelihood 2: the idea has been floated; not built</t>
  </si>
  <si>
    <t xml:space="preserve">Any change that lets the assistant decide rather than draft is a new inventory row with its own role and classification review before build</t>
  </si>
  <si>
    <t xml:space="preserve">Change requests that add decision authority to the assistant</t>
  </si>
  <si>
    <t xml:space="preserve">change request; vendor feature release</t>
  </si>
  <si>
    <t xml:space="preserve">R21</t>
  </si>
  <si>
    <t xml:space="preserve">marketing configures the engine to score customers for eligibility for the group's buy-now-pay-later offer</t>
  </si>
  <si>
    <t xml:space="preserve">the group's own configuration turns the engine into a creditworthiness evaluation of natural persons - a listed high-risk use the vendor has not assessed</t>
  </si>
  <si>
    <t xml:space="preserve">customers subject to credit-type decisions by an unassessed system; group becomes provider of a high-risk system</t>
  </si>
  <si>
    <t xml:space="preserve">None - the offer is planned for 2027</t>
  </si>
  <si>
    <t xml:space="preserve">People 3: access to credit affected. Org 3: provider of a high-risk system without a quality management system. Likelihood 2: planned; not built</t>
  </si>
  <si>
    <t xml:space="preserve">Buy-now-pay-later eligibility assessed as a new system in the inventory with the Part 2 classification walkthrough before any build; the engine is not to be used for it</t>
  </si>
  <si>
    <t xml:space="preserve">New-system requests naming credit or eligibility</t>
  </si>
  <si>
    <t xml:space="preserve">R22</t>
  </si>
  <si>
    <t xml:space="preserve">the group builds its own performance score and feeds it into the optimiser in place of the vendor's</t>
  </si>
  <si>
    <t xml:space="preserve">the group has substantially modified a high-risk system and becomes its provider for that modification</t>
  </si>
  <si>
    <t xml:space="preserve">employees allocated by a score the vendor never assessed; provider duties inherited</t>
  </si>
  <si>
    <t xml:space="preserve">Score redesign (R17) is in progress with no rule on where it runs</t>
  </si>
  <si>
    <t xml:space="preserve">People 3: lasting effect on work terms. Org 3: provider duties for a modified high-risk system. Likelihood 3: the score redesign is under way and the obvious place to put it is the optimiser</t>
  </si>
  <si>
    <t xml:space="preserve">Redesigned score reviewed against the substantial-modification test with the vendor before integration; if the test is met the group assesses whether to take on provider duties or ask the vendor to adopt the score as its own</t>
  </si>
  <si>
    <t xml:space="preserve">2027-03-31</t>
  </si>
  <si>
    <t xml:space="preserve">Score integration request</t>
  </si>
  <si>
    <t xml:space="preserve">score redesign complete; vendor response</t>
  </si>
  <si>
    <t xml:space="preserve">R23</t>
  </si>
  <si>
    <t xml:space="preserve">2026-09-21</t>
  </si>
  <si>
    <t xml:space="preserve">Information security lead</t>
  </si>
  <si>
    <t xml:space="preserve">a customer message, or a web page the assistant retrieves to answer it, contains instructions that override the assistant's own instructions</t>
  </si>
  <si>
    <t xml:space="preserve">the assistant discloses another customer's order or delivery details, or states a refund commitment the group did not authorise</t>
  </si>
  <si>
    <t xml:space="preserve">disclosure of other customers' personal data; commitments to the customer that the group must honour or retract</t>
  </si>
  <si>
    <t xml:space="preserve">Vendor red-team report of August 2026 covering prompt injection and data poisoning - no findings; assistant has read-only access to order lookup; refund amounts not stated (R1 mitigation)</t>
  </si>
  <si>
    <t xml:space="preserve">People 3: disclosure of another customer's personal data. Org 3: data protection enforcement and unauthorised commitments. Likelihood 2: the vendor's red team found no exploitable path in August 2026, but injection techniques change faster than test cycles</t>
  </si>
  <si>
    <t xml:space="preserve">Order lookup restricted at the API to the authenticated customer's own orders, not by instruction to the model; output filter blocks any other customer's identifiers; the group's own injection test set re-run on every vendor model update and quarterly</t>
  </si>
  <si>
    <t xml:space="preserve">Injection test-set pass rate per run; transcripts flagged for identifiers that are not the authenticated customer's</t>
  </si>
  <si>
    <t xml:space="preserve">Any failed injection test case; any transcript containing another customer's identifier</t>
  </si>
  <si>
    <t xml:space="preserve">vendor model update; new retrieval source connected to the assistant; injection test failure; incident</t>
  </si>
  <si>
    <t xml:space="preserve">R24</t>
  </si>
  <si>
    <t xml:space="preserve">an organised fraud group probes the model with many small orders to learn which features and thresholds trigger a hold</t>
  </si>
  <si>
    <t xml:space="preserve">fraudulent orders are shaped to score just below the threshold and are released automatically</t>
  </si>
  <si>
    <t xml:space="preserve">fraud loss and chargebacks to the group; legitimate customers held more often when the threshold is tightened in response</t>
  </si>
  <si>
    <t xml:space="preserve">Velocity limits per card and delivery address; model retrained quarterly; holds reviewed by the payments team; no adversarial cases in the evaluation set</t>
  </si>
  <si>
    <t xml:space="preserve">People 2: legitimate customers delayed if the threshold is tightened in response. Org 3: direct fraud loss and chargebacks. Likelihood 3: threshold probing is a known pattern and the model's features are stable between retrains</t>
  </si>
  <si>
    <t xml:space="preserve">Randomised holds on a sample of orders scoring just below the threshold; probing-pattern detection across order sequences by card, device and address; adversarial test cases added to the retraining evaluation</t>
  </si>
  <si>
    <t xml:space="preserve">Fraud Analytics Lead</t>
  </si>
  <si>
    <t xml:space="preserve">Approved-then-charged-back rate for orders scoring within ten points below the threshold</t>
  </si>
  <si>
    <t xml:space="preserve">Rate for that band exceeds twice the overall approved-order rate</t>
  </si>
  <si>
    <t xml:space="preserve">retrain; chargeback pattern; new payment method; change to the scoring features</t>
  </si>
  <si>
    <t xml:space="preserve">Risk score = severity x likelihood. Bands: 12-16 Critical, 8-9 High, 4-6 Medium, 1-3 Low.</t>
  </si>
  <si>
    <t xml:space="preserve">Inventory Template</t>
  </si>
  <si>
    <t xml:space="preserve">One example row (yellow) - delete it and add your own systems below</t>
  </si>
  <si>
    <t xml:space="preserve">e.g. Candidate screening tool</t>
  </si>
  <si>
    <t xml:space="preserve">e.g. Ranks and filters job applications before a recruiter sees them</t>
  </si>
  <si>
    <t xml:space="preserve">e.g. Ranked shortlist to recruiters; low-ranked applications rejected automatically</t>
  </si>
  <si>
    <t xml:space="preserve">e.g. Bought and used as supplied</t>
  </si>
  <si>
    <t xml:space="preserve">e.g. Vendor name</t>
  </si>
  <si>
    <t xml:space="preserve">e.g. CON-2024-001</t>
  </si>
  <si>
    <t xml:space="preserve">e.g. Product name and version</t>
  </si>
  <si>
    <t xml:space="preserve">e.g. UK, EU</t>
  </si>
  <si>
    <t xml:space="preserve">e.g. Job applicants</t>
  </si>
  <si>
    <t xml:space="preserve">e.g. CVs, application forms</t>
  </si>
  <si>
    <t xml:space="preserve">e.g. ROP-001</t>
  </si>
  <si>
    <t xml:space="preserve">e.g. Annex III point 4(a)</t>
  </si>
  <si>
    <t xml:space="preserve">e.g. 2027-12-02 (high-risk)</t>
  </si>
  <si>
    <t xml:space="preserve">e.g. AI literacy</t>
  </si>
  <si>
    <t xml:space="preserve">e.g. Part 1 policy reference</t>
  </si>
  <si>
    <t xml:space="preserve">e.g. Group HR Director</t>
  </si>
  <si>
    <t xml:space="preserve">e.g. HR Systems Manager</t>
  </si>
  <si>
    <t xml:space="preserve">e.g. procurement</t>
  </si>
  <si>
    <t xml:space="preserve">YYYY-MM-DD</t>
  </si>
  <si>
    <t xml:space="preserve">e.g. your name/role</t>
  </si>
  <si>
    <t xml:space="preserve">Risk Register Template</t>
  </si>
  <si>
    <t xml:space="preserve">One example row (yellow) with live score/band formulas - delete it and add your own risks below</t>
  </si>
  <si>
    <t xml:space="preserve">e.g. the training data reflects a historical imbalance</t>
  </si>
  <si>
    <t xml:space="preserve">e.g. the model ranks one group lower for a role</t>
  </si>
  <si>
    <t xml:space="preserve">e.g. qualified candidates rejected without human review</t>
  </si>
  <si>
    <t xml:space="preserve">e.g. none yet / describe</t>
  </si>
  <si>
    <t xml:space="preserve">e.g. People 3: ... Org 2: ... Likelihood 2: ...</t>
  </si>
  <si>
    <t xml:space="preserve">e.g. named role</t>
  </si>
  <si>
    <t xml:space="preserve">e.g. named control</t>
  </si>
  <si>
    <t xml:space="preserve">e.g. a measure already collected</t>
  </si>
  <si>
    <t xml:space="preserve">e.g. a number</t>
  </si>
  <si>
    <t xml:space="preserve">e.g. vendor model update; complaint pattern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</si>
</sst>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E06666"/>
        <bgColor rgb="FFFF6600"/>
      </patternFill>
    </fill>
    <fill>
      <patternFill patternType="solid">
        <fgColor rgb="FFF6B26B"/>
        <bgColor rgb="FFFF9900"/>
      </patternFill>
    </fill>
    <fill>
      <patternFill patternType="solid">
        <fgColor rgb="FFFFE599"/>
        <bgColor rgb="FFFFF2CC"/>
      </patternFill>
    </fill>
    <fill>
      <patternFill patternType="solid">
        <fgColor rgb="FFB6D7A8"/>
        <bgColor rgb="FFBFBFBF"/>
      </patternFill>
    </fill>
    <fill>
      <patternFill patternType="solid">
        <fgColor rgb="FF1F4E79"/>
        <bgColor rgb="FF003366"/>
      </patternFill>
    </fill>
    <fill>
      <patternFill patternType="solid">
        <fgColor rgb="FFF7F9FC"/>
        <bgColor rgb="FFFFFFFF"/>
      </patternFill>
    </fill>
    <fill>
      <patternFill patternType="solid">
        <fgColor rgb="FFFFF2CC"/>
        <bgColor rgb="FFF7F9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E06666"/>
        </patternFill>
      </fill>
    </dxf>
    <dxf>
      <fill>
        <patternFill>
          <bgColor rgb="FFF6B26B"/>
        </patternFill>
      </fill>
    </dxf>
    <dxf>
      <fill>
        <patternFill>
          <bgColor rgb="FFFFE599"/>
        </patternFill>
      </fill>
    </dxf>
    <dxf>
      <fill>
        <patternFill>
          <bgColor rgb="FFB6D7A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7F9FC"/>
      <rgbColor rgb="FF660066"/>
      <rgbColor rgb="FFE06666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6D7A8"/>
      <rgbColor rgb="FFF6B26B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9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</row>
    <row r="6" customFormat="false" ht="60" hidden="false" customHeight="true" outlineLevel="0" collapsed="false">
      <c r="B6" s="4" t="s">
        <v>3</v>
      </c>
      <c r="C6" s="4"/>
    </row>
    <row r="8" customFormat="false" ht="15" hidden="false" customHeight="false" outlineLevel="0" collapsed="false">
      <c r="B8" s="3" t="s">
        <v>4</v>
      </c>
      <c r="C8" s="3"/>
    </row>
    <row r="9" customFormat="false" ht="15" hidden="false" customHeight="true" outlineLevel="0" collapsed="false">
      <c r="B9" s="4" t="s">
        <v>5</v>
      </c>
      <c r="C9" s="4"/>
    </row>
    <row r="10" customFormat="false" ht="30" hidden="false" customHeight="true" outlineLevel="0" collapsed="false">
      <c r="B10" s="4" t="s">
        <v>6</v>
      </c>
      <c r="C10" s="4"/>
    </row>
    <row r="11" customFormat="false" ht="15" hidden="false" customHeight="true" outlineLevel="0" collapsed="false">
      <c r="B11" s="4" t="s">
        <v>7</v>
      </c>
      <c r="C11" s="4"/>
    </row>
    <row r="12" customFormat="false" ht="15" hidden="false" customHeight="true" outlineLevel="0" collapsed="false">
      <c r="B12" s="4" t="s">
        <v>8</v>
      </c>
      <c r="C12" s="4"/>
    </row>
    <row r="13" customFormat="false" ht="30" hidden="false" customHeight="true" outlineLevel="0" collapsed="false">
      <c r="B13" s="4" t="s">
        <v>9</v>
      </c>
      <c r="C13" s="4"/>
    </row>
    <row r="15" customFormat="false" ht="15" hidden="false" customHeight="false" outlineLevel="0" collapsed="false">
      <c r="B15" s="3" t="s">
        <v>10</v>
      </c>
      <c r="C15" s="3"/>
    </row>
    <row r="16" customFormat="false" ht="120" hidden="false" customHeight="true" outlineLevel="0" collapsed="false">
      <c r="B16" s="4" t="s">
        <v>11</v>
      </c>
      <c r="C16" s="4"/>
    </row>
    <row r="18" customFormat="false" ht="15" hidden="false" customHeight="false" outlineLevel="0" collapsed="false">
      <c r="B18" s="3" t="s">
        <v>12</v>
      </c>
      <c r="C18" s="3"/>
    </row>
    <row r="19" customFormat="false" ht="30" hidden="false" customHeight="true" outlineLevel="0" collapsed="false">
      <c r="B19" s="5" t="s">
        <v>13</v>
      </c>
      <c r="C19" s="5"/>
    </row>
    <row r="20" customFormat="false" ht="15" hidden="false" customHeight="false" outlineLevel="0" collapsed="false">
      <c r="B20" s="6" t="s">
        <v>14</v>
      </c>
      <c r="C20" s="7" t="s">
        <v>15</v>
      </c>
    </row>
    <row r="21" customFormat="false" ht="15" hidden="false" customHeight="false" outlineLevel="0" collapsed="false">
      <c r="B21" s="8" t="s">
        <v>16</v>
      </c>
      <c r="C21" s="7" t="s">
        <v>17</v>
      </c>
    </row>
    <row r="22" customFormat="false" ht="15" hidden="false" customHeight="false" outlineLevel="0" collapsed="false">
      <c r="B22" s="9" t="s">
        <v>18</v>
      </c>
      <c r="C22" s="7" t="s">
        <v>19</v>
      </c>
    </row>
    <row r="23" customFormat="false" ht="15" hidden="false" customHeight="false" outlineLevel="0" collapsed="false">
      <c r="B23" s="10" t="s">
        <v>20</v>
      </c>
      <c r="C23" s="7" t="s">
        <v>21</v>
      </c>
    </row>
    <row r="25" customFormat="false" ht="15" hidden="false" customHeight="false" outlineLevel="0" collapsed="false">
      <c r="B25" s="3" t="s">
        <v>22</v>
      </c>
      <c r="C25" s="3"/>
    </row>
    <row r="26" customFormat="false" ht="15" hidden="false" customHeight="true" outlineLevel="0" collapsed="false">
      <c r="B26" s="11" t="s">
        <v>23</v>
      </c>
      <c r="C26" s="12" t="s">
        <v>24</v>
      </c>
    </row>
    <row r="27" customFormat="false" ht="15" hidden="false" customHeight="true" outlineLevel="0" collapsed="false">
      <c r="B27" s="11" t="s">
        <v>25</v>
      </c>
      <c r="C27" s="12" t="s">
        <v>26</v>
      </c>
    </row>
    <row r="28" customFormat="false" ht="15" hidden="false" customHeight="true" outlineLevel="0" collapsed="false">
      <c r="B28" s="11" t="s">
        <v>27</v>
      </c>
      <c r="C28" s="12" t="s">
        <v>28</v>
      </c>
    </row>
    <row r="29" customFormat="false" ht="15" hidden="false" customHeight="true" outlineLevel="0" collapsed="false">
      <c r="B29" s="11" t="s">
        <v>29</v>
      </c>
      <c r="C29" s="12" t="s">
        <v>30</v>
      </c>
    </row>
    <row r="30" customFormat="false" ht="15" hidden="false" customHeight="true" outlineLevel="0" collapsed="false">
      <c r="B30" s="11" t="s">
        <v>31</v>
      </c>
      <c r="C30" s="12" t="s">
        <v>32</v>
      </c>
    </row>
    <row r="31" customFormat="false" ht="15" hidden="false" customHeight="true" outlineLevel="0" collapsed="false">
      <c r="B31" s="11" t="s">
        <v>33</v>
      </c>
      <c r="C31" s="12" t="s">
        <v>34</v>
      </c>
    </row>
    <row r="32" customFormat="false" ht="30" hidden="false" customHeight="true" outlineLevel="0" collapsed="false">
      <c r="B32" s="11" t="s">
        <v>35</v>
      </c>
      <c r="C32" s="12" t="s">
        <v>36</v>
      </c>
    </row>
    <row r="33" customFormat="false" ht="15" hidden="false" customHeight="true" outlineLevel="0" collapsed="false">
      <c r="B33" s="11" t="s">
        <v>37</v>
      </c>
      <c r="C33" s="12" t="s">
        <v>38</v>
      </c>
    </row>
    <row r="34" customFormat="false" ht="15" hidden="false" customHeight="true" outlineLevel="0" collapsed="false">
      <c r="B34" s="11" t="s">
        <v>39</v>
      </c>
      <c r="C34" s="12" t="s">
        <v>40</v>
      </c>
    </row>
    <row r="35" customFormat="false" ht="15" hidden="false" customHeight="true" outlineLevel="0" collapsed="false">
      <c r="B35" s="11" t="s">
        <v>41</v>
      </c>
      <c r="C35" s="12" t="s">
        <v>42</v>
      </c>
    </row>
    <row r="36" customFormat="false" ht="15" hidden="false" customHeight="true" outlineLevel="0" collapsed="false">
      <c r="B36" s="11" t="s">
        <v>43</v>
      </c>
      <c r="C36" s="12" t="s">
        <v>44</v>
      </c>
    </row>
    <row r="37" customFormat="false" ht="30" hidden="false" customHeight="true" outlineLevel="0" collapsed="false">
      <c r="B37" s="11" t="s">
        <v>45</v>
      </c>
      <c r="C37" s="12" t="s">
        <v>46</v>
      </c>
    </row>
    <row r="38" customFormat="false" ht="15" hidden="false" customHeight="true" outlineLevel="0" collapsed="false">
      <c r="B38" s="11" t="s">
        <v>47</v>
      </c>
      <c r="C38" s="12" t="s">
        <v>48</v>
      </c>
    </row>
    <row r="39" customFormat="false" ht="15" hidden="false" customHeight="true" outlineLevel="0" collapsed="false">
      <c r="B39" s="11" t="s">
        <v>49</v>
      </c>
      <c r="C39" s="12" t="s">
        <v>50</v>
      </c>
    </row>
    <row r="40" customFormat="false" ht="15" hidden="false" customHeight="true" outlineLevel="0" collapsed="false">
      <c r="B40" s="11" t="s">
        <v>51</v>
      </c>
      <c r="C40" s="12" t="s">
        <v>52</v>
      </c>
    </row>
    <row r="41" customFormat="false" ht="15" hidden="false" customHeight="true" outlineLevel="0" collapsed="false">
      <c r="B41" s="11" t="s">
        <v>53</v>
      </c>
      <c r="C41" s="12" t="s">
        <v>54</v>
      </c>
    </row>
    <row r="42" customFormat="false" ht="15" hidden="false" customHeight="true" outlineLevel="0" collapsed="false">
      <c r="B42" s="11" t="s">
        <v>55</v>
      </c>
      <c r="C42" s="12" t="s">
        <v>56</v>
      </c>
    </row>
    <row r="43" customFormat="false" ht="30" hidden="false" customHeight="true" outlineLevel="0" collapsed="false">
      <c r="B43" s="11" t="s">
        <v>57</v>
      </c>
      <c r="C43" s="12" t="s">
        <v>58</v>
      </c>
    </row>
    <row r="44" customFormat="false" ht="30" hidden="false" customHeight="true" outlineLevel="0" collapsed="false">
      <c r="B44" s="11" t="s">
        <v>59</v>
      </c>
      <c r="C44" s="12" t="s">
        <v>60</v>
      </c>
    </row>
    <row r="45" customFormat="false" ht="15" hidden="false" customHeight="true" outlineLevel="0" collapsed="false">
      <c r="B45" s="11" t="s">
        <v>61</v>
      </c>
      <c r="C45" s="12" t="s">
        <v>62</v>
      </c>
    </row>
    <row r="46" customFormat="false" ht="30" hidden="false" customHeight="true" outlineLevel="0" collapsed="false">
      <c r="B46" s="11" t="s">
        <v>63</v>
      </c>
      <c r="C46" s="12" t="s">
        <v>64</v>
      </c>
    </row>
    <row r="47" customFormat="false" ht="15" hidden="false" customHeight="true" outlineLevel="0" collapsed="false">
      <c r="B47" s="11" t="s">
        <v>65</v>
      </c>
      <c r="C47" s="12" t="s">
        <v>66</v>
      </c>
    </row>
    <row r="48" customFormat="false" ht="15" hidden="false" customHeight="true" outlineLevel="0" collapsed="false">
      <c r="B48" s="11" t="s">
        <v>67</v>
      </c>
      <c r="C48" s="12" t="s">
        <v>68</v>
      </c>
    </row>
    <row r="49" customFormat="false" ht="15" hidden="false" customHeight="true" outlineLevel="0" collapsed="false">
      <c r="B49" s="11" t="s">
        <v>69</v>
      </c>
      <c r="C49" s="12" t="s">
        <v>70</v>
      </c>
    </row>
    <row r="50" customFormat="false" ht="30" hidden="false" customHeight="true" outlineLevel="0" collapsed="false">
      <c r="B50" s="11" t="s">
        <v>71</v>
      </c>
      <c r="C50" s="12" t="s">
        <v>72</v>
      </c>
    </row>
    <row r="51" customFormat="false" ht="15" hidden="false" customHeight="true" outlineLevel="0" collapsed="false">
      <c r="B51" s="11" t="s">
        <v>73</v>
      </c>
      <c r="C51" s="12" t="s">
        <v>74</v>
      </c>
    </row>
    <row r="52" customFormat="false" ht="15" hidden="false" customHeight="true" outlineLevel="0" collapsed="false">
      <c r="B52" s="11" t="s">
        <v>75</v>
      </c>
      <c r="C52" s="12" t="s">
        <v>76</v>
      </c>
    </row>
    <row r="54" customFormat="false" ht="15" hidden="false" customHeight="false" outlineLevel="0" collapsed="false">
      <c r="B54" s="3" t="s">
        <v>77</v>
      </c>
      <c r="C54" s="3"/>
    </row>
    <row r="55" customFormat="false" ht="15" hidden="false" customHeight="true" outlineLevel="0" collapsed="false">
      <c r="B55" s="11" t="s">
        <v>78</v>
      </c>
      <c r="C55" s="12" t="s">
        <v>79</v>
      </c>
    </row>
    <row r="56" customFormat="false" ht="15" hidden="false" customHeight="true" outlineLevel="0" collapsed="false">
      <c r="B56" s="11" t="s">
        <v>23</v>
      </c>
      <c r="C56" s="12" t="s">
        <v>80</v>
      </c>
    </row>
    <row r="57" customFormat="false" ht="15" hidden="false" customHeight="true" outlineLevel="0" collapsed="false">
      <c r="B57" s="11" t="s">
        <v>81</v>
      </c>
      <c r="C57" s="12" t="s">
        <v>82</v>
      </c>
    </row>
    <row r="58" customFormat="false" ht="15" hidden="false" customHeight="true" outlineLevel="0" collapsed="false">
      <c r="B58" s="11" t="s">
        <v>83</v>
      </c>
      <c r="C58" s="12" t="s">
        <v>84</v>
      </c>
    </row>
    <row r="59" customFormat="false" ht="15" hidden="false" customHeight="true" outlineLevel="0" collapsed="false">
      <c r="B59" s="11" t="s">
        <v>85</v>
      </c>
      <c r="C59" s="12" t="s">
        <v>86</v>
      </c>
    </row>
    <row r="60" customFormat="false" ht="15" hidden="false" customHeight="true" outlineLevel="0" collapsed="false">
      <c r="B60" s="11" t="s">
        <v>87</v>
      </c>
      <c r="C60" s="12" t="s">
        <v>88</v>
      </c>
    </row>
    <row r="61" customFormat="false" ht="15" hidden="false" customHeight="true" outlineLevel="0" collapsed="false">
      <c r="B61" s="11" t="s">
        <v>89</v>
      </c>
      <c r="C61" s="12" t="s">
        <v>90</v>
      </c>
    </row>
    <row r="62" customFormat="false" ht="15" hidden="false" customHeight="true" outlineLevel="0" collapsed="false">
      <c r="B62" s="11" t="s">
        <v>91</v>
      </c>
      <c r="C62" s="12" t="s">
        <v>92</v>
      </c>
    </row>
    <row r="63" customFormat="false" ht="30" hidden="false" customHeight="true" outlineLevel="0" collapsed="false">
      <c r="B63" s="11" t="s">
        <v>93</v>
      </c>
      <c r="C63" s="12" t="s">
        <v>94</v>
      </c>
    </row>
    <row r="64" customFormat="false" ht="15" hidden="false" customHeight="true" outlineLevel="0" collapsed="false">
      <c r="B64" s="11" t="s">
        <v>95</v>
      </c>
      <c r="C64" s="12" t="s">
        <v>96</v>
      </c>
    </row>
    <row r="65" customFormat="false" ht="30" hidden="false" customHeight="true" outlineLevel="0" collapsed="false">
      <c r="B65" s="11" t="s">
        <v>97</v>
      </c>
      <c r="C65" s="12" t="s">
        <v>98</v>
      </c>
    </row>
    <row r="66" customFormat="false" ht="30" hidden="false" customHeight="true" outlineLevel="0" collapsed="false">
      <c r="B66" s="11" t="s">
        <v>99</v>
      </c>
      <c r="C66" s="12" t="s">
        <v>100</v>
      </c>
    </row>
    <row r="67" customFormat="false" ht="15" hidden="false" customHeight="true" outlineLevel="0" collapsed="false">
      <c r="B67" s="11" t="s">
        <v>101</v>
      </c>
      <c r="C67" s="12" t="s">
        <v>102</v>
      </c>
    </row>
    <row r="68" customFormat="false" ht="30" hidden="false" customHeight="true" outlineLevel="0" collapsed="false">
      <c r="B68" s="11" t="s">
        <v>103</v>
      </c>
      <c r="C68" s="12" t="s">
        <v>104</v>
      </c>
    </row>
    <row r="69" customFormat="false" ht="15" hidden="false" customHeight="true" outlineLevel="0" collapsed="false">
      <c r="B69" s="11" t="s">
        <v>105</v>
      </c>
      <c r="C69" s="12" t="s">
        <v>106</v>
      </c>
    </row>
    <row r="70" customFormat="false" ht="15" hidden="false" customHeight="true" outlineLevel="0" collapsed="false">
      <c r="B70" s="11" t="s">
        <v>107</v>
      </c>
      <c r="C70" s="12" t="s">
        <v>108</v>
      </c>
    </row>
    <row r="71" customFormat="false" ht="15" hidden="false" customHeight="true" outlineLevel="0" collapsed="false">
      <c r="B71" s="11" t="s">
        <v>109</v>
      </c>
      <c r="C71" s="12" t="s">
        <v>110</v>
      </c>
    </row>
    <row r="72" customFormat="false" ht="15" hidden="false" customHeight="true" outlineLevel="0" collapsed="false">
      <c r="B72" s="11" t="s">
        <v>111</v>
      </c>
      <c r="C72" s="12" t="s">
        <v>112</v>
      </c>
    </row>
    <row r="73" customFormat="false" ht="15" hidden="false" customHeight="true" outlineLevel="0" collapsed="false">
      <c r="B73" s="11" t="s">
        <v>113</v>
      </c>
      <c r="C73" s="12" t="s">
        <v>114</v>
      </c>
    </row>
    <row r="74" customFormat="false" ht="15" hidden="false" customHeight="true" outlineLevel="0" collapsed="false">
      <c r="B74" s="11" t="s">
        <v>115</v>
      </c>
      <c r="C74" s="12" t="s">
        <v>116</v>
      </c>
    </row>
    <row r="75" customFormat="false" ht="15" hidden="false" customHeight="true" outlineLevel="0" collapsed="false">
      <c r="B75" s="11" t="s">
        <v>117</v>
      </c>
      <c r="C75" s="12" t="s">
        <v>118</v>
      </c>
    </row>
    <row r="76" customFormat="false" ht="15" hidden="false" customHeight="true" outlineLevel="0" collapsed="false">
      <c r="B76" s="11" t="s">
        <v>119</v>
      </c>
      <c r="C76" s="12" t="s">
        <v>120</v>
      </c>
    </row>
    <row r="77" customFormat="false" ht="15" hidden="false" customHeight="true" outlineLevel="0" collapsed="false">
      <c r="B77" s="11" t="s">
        <v>121</v>
      </c>
      <c r="C77" s="12" t="s">
        <v>122</v>
      </c>
    </row>
    <row r="78" customFormat="false" ht="15" hidden="false" customHeight="true" outlineLevel="0" collapsed="false">
      <c r="B78" s="11" t="s">
        <v>123</v>
      </c>
      <c r="C78" s="12" t="s">
        <v>124</v>
      </c>
    </row>
    <row r="79" customFormat="false" ht="15" hidden="false" customHeight="true" outlineLevel="0" collapsed="false">
      <c r="B79" s="11" t="s">
        <v>125</v>
      </c>
      <c r="C79" s="12" t="s">
        <v>126</v>
      </c>
    </row>
    <row r="80" customFormat="false" ht="15" hidden="false" customHeight="true" outlineLevel="0" collapsed="false">
      <c r="B80" s="11" t="s">
        <v>27</v>
      </c>
      <c r="C80" s="12" t="s">
        <v>127</v>
      </c>
    </row>
    <row r="81" customFormat="false" ht="15" hidden="false" customHeight="true" outlineLevel="0" collapsed="false">
      <c r="B81" s="11" t="s">
        <v>128</v>
      </c>
      <c r="C81" s="12" t="s">
        <v>129</v>
      </c>
    </row>
    <row r="82" customFormat="false" ht="15" hidden="false" customHeight="true" outlineLevel="0" collapsed="false">
      <c r="B82" s="11" t="s">
        <v>130</v>
      </c>
      <c r="C82" s="12" t="s">
        <v>131</v>
      </c>
    </row>
    <row r="83" customFormat="false" ht="15" hidden="false" customHeight="true" outlineLevel="0" collapsed="false">
      <c r="B83" s="11" t="s">
        <v>132</v>
      </c>
      <c r="C83" s="12" t="s">
        <v>133</v>
      </c>
    </row>
    <row r="84" customFormat="false" ht="15" hidden="false" customHeight="true" outlineLevel="0" collapsed="false">
      <c r="B84" s="11" t="s">
        <v>134</v>
      </c>
      <c r="C84" s="12" t="s">
        <v>135</v>
      </c>
    </row>
    <row r="86" customFormat="false" ht="15" hidden="false" customHeight="false" outlineLevel="0" collapsed="false">
      <c r="B86" s="3" t="s">
        <v>136</v>
      </c>
      <c r="C86" s="3"/>
    </row>
    <row r="87" customFormat="false" ht="15" hidden="false" customHeight="true" outlineLevel="0" collapsed="false">
      <c r="B87" s="4" t="s">
        <v>137</v>
      </c>
      <c r="C87" s="4"/>
    </row>
    <row r="88" customFormat="false" ht="15" hidden="false" customHeight="true" outlineLevel="0" collapsed="false">
      <c r="B88" s="4" t="s">
        <v>138</v>
      </c>
      <c r="C88" s="4"/>
    </row>
    <row r="89" customFormat="false" ht="30" hidden="false" customHeight="true" outlineLevel="0" collapsed="false">
      <c r="B89" s="4" t="s">
        <v>139</v>
      </c>
      <c r="C89" s="4"/>
    </row>
    <row r="90" customFormat="false" ht="15" hidden="false" customHeight="true" outlineLevel="0" collapsed="false">
      <c r="B90" s="4" t="s">
        <v>140</v>
      </c>
      <c r="C90" s="4"/>
    </row>
    <row r="91" customFormat="false" ht="15" hidden="false" customHeight="true" outlineLevel="0" collapsed="false">
      <c r="B91" s="4" t="s">
        <v>141</v>
      </c>
      <c r="C91" s="4"/>
    </row>
    <row r="93" customFormat="false" ht="15" hidden="false" customHeight="false" outlineLevel="0" collapsed="false">
      <c r="B93" s="3" t="s">
        <v>142</v>
      </c>
      <c r="C93" s="3"/>
    </row>
    <row r="94" customFormat="false" ht="60" hidden="false" customHeight="true" outlineLevel="0" collapsed="false">
      <c r="B94" s="4" t="s">
        <v>143</v>
      </c>
      <c r="C94" s="4"/>
    </row>
  </sheetData>
  <mergeCells count="22">
    <mergeCell ref="B5:C5"/>
    <mergeCell ref="B6:C6"/>
    <mergeCell ref="B8:C8"/>
    <mergeCell ref="B9:C9"/>
    <mergeCell ref="B10:C10"/>
    <mergeCell ref="B11:C11"/>
    <mergeCell ref="B12:C12"/>
    <mergeCell ref="B13:C13"/>
    <mergeCell ref="B15:C15"/>
    <mergeCell ref="B16:C16"/>
    <mergeCell ref="B18:C18"/>
    <mergeCell ref="B19:C19"/>
    <mergeCell ref="B25:C25"/>
    <mergeCell ref="B54:C54"/>
    <mergeCell ref="B86:C86"/>
    <mergeCell ref="B87:C87"/>
    <mergeCell ref="B88:C88"/>
    <mergeCell ref="B89:C89"/>
    <mergeCell ref="B90:C90"/>
    <mergeCell ref="B91:C91"/>
    <mergeCell ref="B93:C93"/>
    <mergeCell ref="B94:C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144</v>
      </c>
    </row>
    <row r="3" customFormat="false" ht="15" hidden="false" customHeight="false" outlineLevel="0" collapsed="false">
      <c r="B3" s="2" t="s">
        <v>145</v>
      </c>
    </row>
    <row r="5" customFormat="false" ht="15" hidden="false" customHeight="false" outlineLevel="0" collapsed="false">
      <c r="B5" s="13" t="s">
        <v>146</v>
      </c>
    </row>
    <row r="6" customFormat="false" ht="23.85" hidden="false" customHeight="false" outlineLevel="0" collapsed="false">
      <c r="B6" s="14" t="s">
        <v>147</v>
      </c>
      <c r="C6" s="14" t="s">
        <v>148</v>
      </c>
      <c r="D6" s="14" t="s">
        <v>149</v>
      </c>
    </row>
    <row r="7" customFormat="false" ht="15" hidden="false" customHeight="false" outlineLevel="0" collapsed="false">
      <c r="B7" s="15" t="s">
        <v>14</v>
      </c>
      <c r="C7" s="16" t="n">
        <f aca="false">COUNTIF('AI Risk Register'!$AB$3:$AB$200,B7)</f>
        <v>4</v>
      </c>
      <c r="D7" s="17" t="n">
        <f aca="false">C7/COUNTA('AI Risk Register'!$B$3:$B$200)</f>
        <v>0.166666666666667</v>
      </c>
    </row>
    <row r="8" customFormat="false" ht="15" hidden="false" customHeight="false" outlineLevel="0" collapsed="false">
      <c r="B8" s="18" t="s">
        <v>16</v>
      </c>
      <c r="C8" s="16" t="n">
        <f aca="false">COUNTIF('AI Risk Register'!$AB$3:$AB$200,B8)</f>
        <v>3</v>
      </c>
      <c r="D8" s="17" t="n">
        <f aca="false">C8/COUNTA('AI Risk Register'!$B$3:$B$200)</f>
        <v>0.125</v>
      </c>
    </row>
    <row r="9" customFormat="false" ht="15" hidden="false" customHeight="false" outlineLevel="0" collapsed="false">
      <c r="B9" s="19" t="s">
        <v>18</v>
      </c>
      <c r="C9" s="16" t="n">
        <f aca="false">COUNTIF('AI Risk Register'!$AB$3:$AB$200,B9)</f>
        <v>15</v>
      </c>
      <c r="D9" s="17" t="n">
        <f aca="false">C9/COUNTA('AI Risk Register'!$B$3:$B$200)</f>
        <v>0.625</v>
      </c>
    </row>
    <row r="10" customFormat="false" ht="15" hidden="false" customHeight="false" outlineLevel="0" collapsed="false">
      <c r="B10" s="20" t="s">
        <v>20</v>
      </c>
      <c r="C10" s="16" t="n">
        <f aca="false">COUNTIF('AI Risk Register'!$AB$3:$AB$200,B10)</f>
        <v>2</v>
      </c>
      <c r="D10" s="17" t="n">
        <f aca="false">C10/COUNTA('AI Risk Register'!$B$3:$B$200)</f>
        <v>0.0833333333333333</v>
      </c>
    </row>
    <row r="11" customFormat="false" ht="15" hidden="false" customHeight="false" outlineLevel="0" collapsed="false">
      <c r="B11" s="21" t="s">
        <v>150</v>
      </c>
      <c r="C11" s="22" t="n">
        <f aca="false">SUM(C7:C10)</f>
        <v>24</v>
      </c>
    </row>
    <row r="13" customFormat="false" ht="15" hidden="false" customHeight="false" outlineLevel="0" collapsed="false">
      <c r="B13" s="13" t="s">
        <v>151</v>
      </c>
    </row>
    <row r="14" customFormat="false" ht="35.05" hidden="false" customHeight="false" outlineLevel="0" collapsed="false">
      <c r="B14" s="14" t="s">
        <v>23</v>
      </c>
      <c r="C14" s="14" t="s">
        <v>25</v>
      </c>
      <c r="D14" s="14" t="s">
        <v>152</v>
      </c>
      <c r="E14" s="14" t="s">
        <v>153</v>
      </c>
      <c r="F14" s="14" t="s">
        <v>154</v>
      </c>
    </row>
    <row r="15" customFormat="false" ht="15" hidden="false" customHeight="false" outlineLevel="0" collapsed="false">
      <c r="B15" s="23" t="str">
        <f aca="false">'AI Inventory'!A3</f>
        <v>S1</v>
      </c>
      <c r="C15" s="23" t="str">
        <f aca="false">'AI Inventory'!B3</f>
        <v>Customer service assistant</v>
      </c>
      <c r="D15" s="16" t="n">
        <f aca="false">COUNTIF('AI Risk Register'!$B$3:$B$200,B15)</f>
        <v>6</v>
      </c>
      <c r="E15" s="16" t="n">
        <f aca="false">SUMPRODUCT(MAX(('AI Risk Register'!$B$3:$B$200=B15)*'AI Risk Register'!$K$3:$K$200))</f>
        <v>3</v>
      </c>
      <c r="F15" s="16" t="n">
        <f aca="false">COUNTIFS('AI Risk Register'!$B$3:$B$200,B15,'AI Risk Register'!$O$3:$O$200,"mitigate",'AI Risk Register'!$Z$3:$Z$200,"&lt;&gt;closed")</f>
        <v>6</v>
      </c>
    </row>
    <row r="16" customFormat="false" ht="15" hidden="false" customHeight="false" outlineLevel="0" collapsed="false">
      <c r="B16" s="23" t="str">
        <f aca="false">'AI Inventory'!A4</f>
        <v>S2</v>
      </c>
      <c r="C16" s="23" t="str">
        <f aca="false">'AI Inventory'!B4</f>
        <v>Candidate screening tool</v>
      </c>
      <c r="D16" s="16" t="n">
        <f aca="false">COUNTIF('AI Risk Register'!$B$3:$B$200,B16)</f>
        <v>5</v>
      </c>
      <c r="E16" s="16" t="n">
        <f aca="false">SUMPRODUCT(MAX(('AI Risk Register'!$B$3:$B$200=B16)*'AI Risk Register'!$K$3:$K$200))</f>
        <v>4</v>
      </c>
      <c r="F16" s="16" t="n">
        <f aca="false">COUNTIFS('AI Risk Register'!$B$3:$B$200,B16,'AI Risk Register'!$O$3:$O$200,"mitigate",'AI Risk Register'!$Z$3:$Z$200,"&lt;&gt;closed")</f>
        <v>4</v>
      </c>
    </row>
    <row r="17" customFormat="false" ht="15" hidden="false" customHeight="false" outlineLevel="0" collapsed="false">
      <c r="B17" s="23" t="str">
        <f aca="false">'AI Inventory'!A5</f>
        <v>S3</v>
      </c>
      <c r="C17" s="23" t="str">
        <f aca="false">'AI Inventory'!B5</f>
        <v>Payment fraud detection</v>
      </c>
      <c r="D17" s="16" t="n">
        <f aca="false">COUNTIF('AI Risk Register'!$B$3:$B$200,B17)</f>
        <v>4</v>
      </c>
      <c r="E17" s="16" t="n">
        <f aca="false">SUMPRODUCT(MAX(('AI Risk Register'!$B$3:$B$200=B17)*'AI Risk Register'!$K$3:$K$200))</f>
        <v>2</v>
      </c>
      <c r="F17" s="16" t="n">
        <f aca="false">COUNTIFS('AI Risk Register'!$B$3:$B$200,B17,'AI Risk Register'!$O$3:$O$200,"mitigate",'AI Risk Register'!$Z$3:$Z$200,"&lt;&gt;closed")</f>
        <v>3</v>
      </c>
    </row>
    <row r="18" customFormat="false" ht="15" hidden="false" customHeight="false" outlineLevel="0" collapsed="false">
      <c r="B18" s="23" t="str">
        <f aca="false">'AI Inventory'!A6</f>
        <v>S4</v>
      </c>
      <c r="C18" s="23" t="str">
        <f aca="false">'AI Inventory'!B6</f>
        <v>Demand forecasting</v>
      </c>
      <c r="D18" s="16" t="n">
        <f aca="false">COUNTIF('AI Risk Register'!$B$3:$B$200,B18)</f>
        <v>1</v>
      </c>
      <c r="E18" s="16" t="n">
        <f aca="false">SUMPRODUCT(MAX(('AI Risk Register'!$B$3:$B$200=B18)*'AI Risk Register'!$K$3:$K$200))</f>
        <v>1</v>
      </c>
      <c r="F18" s="16" t="n">
        <f aca="false">COUNTIFS('AI Risk Register'!$B$3:$B$200,B18,'AI Risk Register'!$O$3:$O$200,"mitigate",'AI Risk Register'!$Z$3:$Z$200,"&lt;&gt;closed")</f>
        <v>0</v>
      </c>
    </row>
    <row r="19" customFormat="false" ht="15" hidden="false" customHeight="false" outlineLevel="0" collapsed="false">
      <c r="B19" s="23" t="str">
        <f aca="false">'AI Inventory'!A7</f>
        <v>S5</v>
      </c>
      <c r="C19" s="23" t="str">
        <f aca="false">'AI Inventory'!B7</f>
        <v>Personalisation and promotions engine</v>
      </c>
      <c r="D19" s="16" t="n">
        <f aca="false">COUNTIF('AI Risk Register'!$B$3:$B$200,B19)</f>
        <v>4</v>
      </c>
      <c r="E19" s="16" t="n">
        <f aca="false">SUMPRODUCT(MAX(('AI Risk Register'!$B$3:$B$200=B19)*'AI Risk Register'!$K$3:$K$200))</f>
        <v>3</v>
      </c>
      <c r="F19" s="16" t="n">
        <f aca="false">COUNTIFS('AI Risk Register'!$B$3:$B$200,B19,'AI Risk Register'!$O$3:$O$200,"mitigate",'AI Risk Register'!$Z$3:$Z$200,"&lt;&gt;closed")</f>
        <v>3</v>
      </c>
    </row>
    <row r="20" customFormat="false" ht="15" hidden="false" customHeight="false" outlineLevel="0" collapsed="false">
      <c r="B20" s="23" t="str">
        <f aca="false">'AI Inventory'!A8</f>
        <v>S6</v>
      </c>
      <c r="C20" s="23" t="str">
        <f aca="false">'AI Inventory'!B8</f>
        <v>Shift optimiser</v>
      </c>
      <c r="D20" s="16" t="n">
        <f aca="false">COUNTIF('AI Risk Register'!$B$3:$B$200,B20)</f>
        <v>4</v>
      </c>
      <c r="E20" s="16" t="n">
        <f aca="false">SUMPRODUCT(MAX(('AI Risk Register'!$B$3:$B$200=B20)*'AI Risk Register'!$K$3:$K$200))</f>
        <v>4</v>
      </c>
      <c r="F20" s="16" t="n">
        <f aca="false">COUNTIFS('AI Risk Register'!$B$3:$B$200,B20,'AI Risk Register'!$O$3:$O$200,"mitigate",'AI Risk Register'!$Z$3:$Z$200,"&lt;&gt;closed")</f>
        <v>4</v>
      </c>
    </row>
    <row r="22" customFormat="false" ht="15" hidden="false" customHeight="false" outlineLevel="0" collapsed="false">
      <c r="B22" s="2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2" min="11" style="0" width="16"/>
    <col collapsed="false" customWidth="true" hidden="false" outlineLevel="0" max="14" min="13" style="0" width="26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32"/>
    <col collapsed="false" customWidth="true" hidden="false" outlineLevel="0" max="19" min="18" style="0" width="12"/>
    <col collapsed="false" customWidth="true" hidden="false" outlineLevel="0" max="20" min="20" style="0" width="22"/>
    <col collapsed="false" customWidth="true" hidden="false" outlineLevel="0" max="21" min="21" style="0" width="18"/>
    <col collapsed="false" customWidth="true" hidden="false" outlineLevel="0" max="22" min="22" style="0" width="30"/>
    <col collapsed="false" customWidth="true" hidden="false" outlineLevel="0" max="23" min="23" style="0" width="20"/>
    <col collapsed="false" customWidth="true" hidden="false" outlineLevel="0" max="24" min="24" style="0" width="18"/>
    <col collapsed="false" customWidth="true" hidden="false" outlineLevel="0" max="26" min="25" style="0" width="12"/>
    <col collapsed="false" customWidth="true" hidden="false" outlineLevel="0" max="27" min="27" style="0" width="16"/>
  </cols>
  <sheetData>
    <row r="1" customFormat="false" ht="19.5" hidden="false" customHeight="true" outlineLevel="0" collapsed="false">
      <c r="A1" s="1" t="s">
        <v>156</v>
      </c>
      <c r="B1" s="24" t="s">
        <v>157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customFormat="false" ht="31.5" hidden="false" customHeight="true" outlineLevel="0" collapsed="false">
      <c r="A2" s="14" t="s">
        <v>23</v>
      </c>
      <c r="B2" s="14" t="s">
        <v>25</v>
      </c>
      <c r="C2" s="14" t="s">
        <v>27</v>
      </c>
      <c r="D2" s="14" t="s">
        <v>29</v>
      </c>
      <c r="E2" s="14" t="s">
        <v>31</v>
      </c>
      <c r="F2" s="14" t="s">
        <v>33</v>
      </c>
      <c r="G2" s="14" t="s">
        <v>35</v>
      </c>
      <c r="H2" s="14" t="s">
        <v>37</v>
      </c>
      <c r="I2" s="14" t="s">
        <v>39</v>
      </c>
      <c r="J2" s="14" t="s">
        <v>41</v>
      </c>
      <c r="K2" s="14" t="s">
        <v>43</v>
      </c>
      <c r="L2" s="14" t="s">
        <v>45</v>
      </c>
      <c r="M2" s="14" t="s">
        <v>47</v>
      </c>
      <c r="N2" s="14" t="s">
        <v>49</v>
      </c>
      <c r="O2" s="14" t="s">
        <v>51</v>
      </c>
      <c r="P2" s="14" t="s">
        <v>53</v>
      </c>
      <c r="Q2" s="14" t="s">
        <v>55</v>
      </c>
      <c r="R2" s="14" t="s">
        <v>57</v>
      </c>
      <c r="S2" s="14" t="s">
        <v>59</v>
      </c>
      <c r="T2" s="14" t="s">
        <v>61</v>
      </c>
      <c r="U2" s="14" t="s">
        <v>63</v>
      </c>
      <c r="V2" s="14" t="s">
        <v>65</v>
      </c>
      <c r="W2" s="14" t="s">
        <v>67</v>
      </c>
      <c r="X2" s="14" t="s">
        <v>69</v>
      </c>
      <c r="Y2" s="14" t="s">
        <v>71</v>
      </c>
      <c r="Z2" s="14" t="s">
        <v>73</v>
      </c>
      <c r="AA2" s="14" t="s">
        <v>75</v>
      </c>
    </row>
    <row r="3" customFormat="false" ht="30" hidden="false" customHeight="true" outlineLevel="0" collapsed="false">
      <c r="A3" s="25" t="s">
        <v>158</v>
      </c>
      <c r="B3" s="25" t="s">
        <v>159</v>
      </c>
      <c r="C3" s="25" t="s">
        <v>160</v>
      </c>
      <c r="D3" s="25" t="s">
        <v>161</v>
      </c>
      <c r="E3" s="25" t="s">
        <v>162</v>
      </c>
      <c r="F3" s="25" t="s">
        <v>163</v>
      </c>
      <c r="G3" s="25" t="s">
        <v>164</v>
      </c>
      <c r="H3" s="25" t="s">
        <v>165</v>
      </c>
      <c r="I3" s="25" t="s">
        <v>166</v>
      </c>
      <c r="J3" s="25" t="s">
        <v>167</v>
      </c>
      <c r="K3" s="25" t="s">
        <v>168</v>
      </c>
      <c r="L3" s="25" t="s">
        <v>168</v>
      </c>
      <c r="M3" s="25" t="s">
        <v>169</v>
      </c>
      <c r="N3" s="25" t="s">
        <v>170</v>
      </c>
      <c r="O3" s="25" t="s">
        <v>171</v>
      </c>
      <c r="P3" s="26" t="s">
        <v>172</v>
      </c>
      <c r="Q3" s="25" t="s">
        <v>173</v>
      </c>
      <c r="R3" s="25" t="s">
        <v>174</v>
      </c>
      <c r="S3" s="25" t="s">
        <v>174</v>
      </c>
      <c r="T3" s="25" t="s">
        <v>175</v>
      </c>
      <c r="U3" s="25" t="s">
        <v>176</v>
      </c>
      <c r="V3" s="25" t="s">
        <v>177</v>
      </c>
      <c r="W3" s="25" t="s">
        <v>178</v>
      </c>
      <c r="X3" s="25" t="s">
        <v>179</v>
      </c>
      <c r="Y3" s="25" t="s">
        <v>180</v>
      </c>
      <c r="Z3" s="25" t="s">
        <v>181</v>
      </c>
      <c r="AA3" s="25" t="s">
        <v>182</v>
      </c>
    </row>
    <row r="4" customFormat="false" ht="30" hidden="false" customHeight="true" outlineLevel="0" collapsed="false">
      <c r="A4" s="27" t="s">
        <v>183</v>
      </c>
      <c r="B4" s="27" t="s">
        <v>184</v>
      </c>
      <c r="C4" s="27" t="s">
        <v>160</v>
      </c>
      <c r="D4" s="27" t="s">
        <v>185</v>
      </c>
      <c r="E4" s="27" t="s">
        <v>186</v>
      </c>
      <c r="F4" s="27" t="s">
        <v>163</v>
      </c>
      <c r="G4" s="27" t="s">
        <v>187</v>
      </c>
      <c r="H4" s="27" t="s">
        <v>188</v>
      </c>
      <c r="I4" s="27" t="s">
        <v>189</v>
      </c>
      <c r="J4" s="27" t="s">
        <v>190</v>
      </c>
      <c r="K4" s="27" t="s">
        <v>168</v>
      </c>
      <c r="L4" s="27" t="s">
        <v>168</v>
      </c>
      <c r="M4" s="27" t="s">
        <v>191</v>
      </c>
      <c r="N4" s="27" t="s">
        <v>192</v>
      </c>
      <c r="O4" s="27" t="s">
        <v>193</v>
      </c>
      <c r="P4" s="28" t="s">
        <v>194</v>
      </c>
      <c r="Q4" s="27" t="s">
        <v>195</v>
      </c>
      <c r="R4" s="27" t="s">
        <v>196</v>
      </c>
      <c r="S4" s="27" t="s">
        <v>174</v>
      </c>
      <c r="T4" s="27" t="s">
        <v>197</v>
      </c>
      <c r="U4" s="27" t="s">
        <v>198</v>
      </c>
      <c r="V4" s="27" t="s">
        <v>199</v>
      </c>
      <c r="W4" s="27" t="s">
        <v>200</v>
      </c>
      <c r="X4" s="27" t="s">
        <v>201</v>
      </c>
      <c r="Y4" s="27" t="s">
        <v>180</v>
      </c>
      <c r="Z4" s="27" t="s">
        <v>181</v>
      </c>
      <c r="AA4" s="27" t="s">
        <v>182</v>
      </c>
    </row>
    <row r="5" customFormat="false" ht="30" hidden="false" customHeight="true" outlineLevel="0" collapsed="false">
      <c r="A5" s="25" t="s">
        <v>202</v>
      </c>
      <c r="B5" s="25" t="s">
        <v>203</v>
      </c>
      <c r="C5" s="25" t="s">
        <v>160</v>
      </c>
      <c r="D5" s="25" t="s">
        <v>204</v>
      </c>
      <c r="E5" s="25" t="s">
        <v>205</v>
      </c>
      <c r="F5" s="25" t="s">
        <v>206</v>
      </c>
      <c r="G5" s="25" t="s">
        <v>207</v>
      </c>
      <c r="H5" s="25" t="s">
        <v>208</v>
      </c>
      <c r="I5" s="25" t="s">
        <v>209</v>
      </c>
      <c r="J5" s="25" t="s">
        <v>210</v>
      </c>
      <c r="K5" s="25" t="s">
        <v>211</v>
      </c>
      <c r="L5" s="25" t="s">
        <v>211</v>
      </c>
      <c r="M5" s="25" t="s">
        <v>212</v>
      </c>
      <c r="N5" s="25" t="s">
        <v>213</v>
      </c>
      <c r="O5" s="25" t="s">
        <v>214</v>
      </c>
      <c r="P5" s="29" t="s">
        <v>208</v>
      </c>
      <c r="Q5" s="25" t="s">
        <v>215</v>
      </c>
      <c r="R5" s="25" t="s">
        <v>174</v>
      </c>
      <c r="S5" s="25" t="s">
        <v>174</v>
      </c>
      <c r="T5" s="25" t="s">
        <v>216</v>
      </c>
      <c r="U5" s="25" t="s">
        <v>198</v>
      </c>
      <c r="V5" s="25" t="s">
        <v>217</v>
      </c>
      <c r="W5" s="25" t="s">
        <v>218</v>
      </c>
      <c r="X5" s="25" t="s">
        <v>219</v>
      </c>
      <c r="Y5" s="25" t="s">
        <v>220</v>
      </c>
      <c r="Z5" s="25" t="s">
        <v>181</v>
      </c>
      <c r="AA5" s="25" t="s">
        <v>182</v>
      </c>
    </row>
    <row r="6" customFormat="false" ht="30" hidden="false" customHeight="true" outlineLevel="0" collapsed="false">
      <c r="A6" s="27" t="s">
        <v>221</v>
      </c>
      <c r="B6" s="27" t="s">
        <v>222</v>
      </c>
      <c r="C6" s="27" t="s">
        <v>160</v>
      </c>
      <c r="D6" s="27" t="s">
        <v>223</v>
      </c>
      <c r="E6" s="27" t="s">
        <v>224</v>
      </c>
      <c r="F6" s="27" t="s">
        <v>206</v>
      </c>
      <c r="G6" s="27" t="s">
        <v>207</v>
      </c>
      <c r="H6" s="27" t="s">
        <v>208</v>
      </c>
      <c r="I6" s="27" t="s">
        <v>209</v>
      </c>
      <c r="J6" s="27" t="s">
        <v>225</v>
      </c>
      <c r="K6" s="27" t="s">
        <v>168</v>
      </c>
      <c r="L6" s="27" t="s">
        <v>168</v>
      </c>
      <c r="M6" s="27" t="s">
        <v>226</v>
      </c>
      <c r="N6" s="27" t="s">
        <v>227</v>
      </c>
      <c r="O6" s="27" t="s">
        <v>209</v>
      </c>
      <c r="P6" s="29" t="s">
        <v>208</v>
      </c>
      <c r="Q6" s="27" t="s">
        <v>228</v>
      </c>
      <c r="R6" s="27" t="s">
        <v>174</v>
      </c>
      <c r="S6" s="27" t="s">
        <v>174</v>
      </c>
      <c r="T6" s="27" t="s">
        <v>216</v>
      </c>
      <c r="U6" s="27" t="s">
        <v>198</v>
      </c>
      <c r="V6" s="27" t="s">
        <v>209</v>
      </c>
      <c r="W6" s="27" t="s">
        <v>229</v>
      </c>
      <c r="X6" s="27" t="s">
        <v>219</v>
      </c>
      <c r="Y6" s="27" t="s">
        <v>220</v>
      </c>
      <c r="Z6" s="27" t="s">
        <v>181</v>
      </c>
      <c r="AA6" s="27" t="s">
        <v>182</v>
      </c>
    </row>
    <row r="7" customFormat="false" ht="30" hidden="false" customHeight="true" outlineLevel="0" collapsed="false">
      <c r="A7" s="25" t="s">
        <v>230</v>
      </c>
      <c r="B7" s="25" t="s">
        <v>231</v>
      </c>
      <c r="C7" s="25" t="s">
        <v>160</v>
      </c>
      <c r="D7" s="25" t="s">
        <v>232</v>
      </c>
      <c r="E7" s="25" t="s">
        <v>233</v>
      </c>
      <c r="F7" s="25" t="s">
        <v>163</v>
      </c>
      <c r="G7" s="25" t="s">
        <v>234</v>
      </c>
      <c r="H7" s="25" t="s">
        <v>235</v>
      </c>
      <c r="I7" s="25" t="s">
        <v>236</v>
      </c>
      <c r="J7" s="25" t="s">
        <v>237</v>
      </c>
      <c r="K7" s="25" t="s">
        <v>211</v>
      </c>
      <c r="L7" s="25" t="s">
        <v>211</v>
      </c>
      <c r="M7" s="25" t="s">
        <v>212</v>
      </c>
      <c r="N7" s="25" t="s">
        <v>238</v>
      </c>
      <c r="O7" s="25" t="s">
        <v>239</v>
      </c>
      <c r="P7" s="29" t="s">
        <v>208</v>
      </c>
      <c r="Q7" s="25" t="s">
        <v>240</v>
      </c>
      <c r="R7" s="25" t="s">
        <v>174</v>
      </c>
      <c r="S7" s="25" t="s">
        <v>174</v>
      </c>
      <c r="T7" s="25" t="s">
        <v>216</v>
      </c>
      <c r="U7" s="25" t="s">
        <v>198</v>
      </c>
      <c r="V7" s="25" t="s">
        <v>241</v>
      </c>
      <c r="W7" s="25" t="s">
        <v>242</v>
      </c>
      <c r="X7" s="25" t="s">
        <v>243</v>
      </c>
      <c r="Y7" s="25" t="s">
        <v>244</v>
      </c>
      <c r="Z7" s="25" t="s">
        <v>181</v>
      </c>
      <c r="AA7" s="25" t="s">
        <v>182</v>
      </c>
    </row>
    <row r="8" customFormat="false" ht="30" hidden="false" customHeight="true" outlineLevel="0" collapsed="false">
      <c r="A8" s="27" t="s">
        <v>245</v>
      </c>
      <c r="B8" s="27" t="s">
        <v>246</v>
      </c>
      <c r="C8" s="27" t="s">
        <v>160</v>
      </c>
      <c r="D8" s="27" t="s">
        <v>247</v>
      </c>
      <c r="E8" s="27" t="s">
        <v>248</v>
      </c>
      <c r="F8" s="27" t="s">
        <v>163</v>
      </c>
      <c r="G8" s="27" t="s">
        <v>249</v>
      </c>
      <c r="H8" s="27" t="s">
        <v>250</v>
      </c>
      <c r="I8" s="27" t="s">
        <v>251</v>
      </c>
      <c r="J8" s="27" t="s">
        <v>252</v>
      </c>
      <c r="K8" s="27" t="s">
        <v>168</v>
      </c>
      <c r="L8" s="27" t="s">
        <v>168</v>
      </c>
      <c r="M8" s="27" t="s">
        <v>253</v>
      </c>
      <c r="N8" s="27" t="s">
        <v>254</v>
      </c>
      <c r="O8" s="27" t="s">
        <v>255</v>
      </c>
      <c r="P8" s="28" t="s">
        <v>194</v>
      </c>
      <c r="Q8" s="27" t="s">
        <v>256</v>
      </c>
      <c r="R8" s="27" t="s">
        <v>196</v>
      </c>
      <c r="S8" s="27" t="s">
        <v>174</v>
      </c>
      <c r="T8" s="27" t="s">
        <v>197</v>
      </c>
      <c r="U8" s="27" t="s">
        <v>198</v>
      </c>
      <c r="V8" s="27" t="s">
        <v>257</v>
      </c>
      <c r="W8" s="27" t="s">
        <v>258</v>
      </c>
      <c r="X8" s="27" t="s">
        <v>259</v>
      </c>
      <c r="Y8" s="27" t="s">
        <v>260</v>
      </c>
      <c r="Z8" s="27" t="s">
        <v>181</v>
      </c>
      <c r="AA8" s="27" t="s">
        <v>182</v>
      </c>
    </row>
  </sheetData>
  <mergeCells count="1">
    <mergeCell ref="B1:AA1"/>
  </mergeCells>
  <dataValidations count="2">
    <dataValidation allowBlank="true" errorStyle="stop" operator="between" showDropDown="false" showErrorMessage="false" showInputMessage="false" sqref="F3:F200" type="list">
      <formula1>"provider,deployer,both"</formula1>
      <formula2>0</formula2>
    </dataValidation>
    <dataValidation allowBlank="true" errorStyle="stop" operator="between" showDropDown="false" showErrorMessage="false" showInputMessage="false" sqref="P3:P200" type="list">
      <formula1>"prohibited,high-risk,transparency,none"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28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3" min="11" style="0" width="10"/>
    <col collapsed="false" customWidth="true" hidden="false" outlineLevel="0" max="14" min="14" style="0" width="34"/>
    <col collapsed="false" customWidth="true" hidden="false" outlineLevel="0" max="15" min="15" style="0" width="10"/>
    <col collapsed="false" customWidth="true" hidden="false" outlineLevel="0" max="16" min="16" style="0" width="18"/>
    <col collapsed="false" customWidth="true" hidden="false" outlineLevel="0" max="17" min="17" style="0" width="11"/>
    <col collapsed="false" customWidth="true" hidden="false" outlineLevel="0" max="18" min="18" style="0" width="32"/>
    <col collapsed="false" customWidth="true" hidden="false" outlineLevel="0" max="19" min="19" style="0" width="16"/>
    <col collapsed="false" customWidth="true" hidden="false" outlineLevel="0" max="20" min="20" style="0" width="11"/>
    <col collapsed="false" customWidth="true" hidden="false" outlineLevel="0" max="21" min="21" style="0" width="26"/>
    <col collapsed="false" customWidth="true" hidden="false" outlineLevel="0" max="22" min="22" style="0" width="20"/>
    <col collapsed="false" customWidth="true" hidden="false" outlineLevel="0" max="23" min="23" style="0" width="18"/>
    <col collapsed="false" customWidth="true" hidden="false" outlineLevel="0" max="24" min="24" style="0" width="26"/>
    <col collapsed="false" customWidth="true" hidden="false" outlineLevel="0" max="26" min="25" style="0" width="11"/>
    <col collapsed="false" customWidth="true" hidden="false" outlineLevel="0" max="27" min="27" style="0" width="13"/>
    <col collapsed="false" customWidth="true" hidden="false" outlineLevel="0" max="28" min="28" style="0" width="12"/>
    <col collapsed="false" customWidth="true" hidden="false" outlineLevel="0" max="29" min="29" style="0" width="13"/>
    <col collapsed="false" customWidth="true" hidden="false" outlineLevel="0" max="30" min="30" style="0" width="12"/>
  </cols>
  <sheetData>
    <row r="1" customFormat="false" ht="19.5" hidden="false" customHeight="true" outlineLevel="0" collapsed="false">
      <c r="A1" s="1" t="s">
        <v>261</v>
      </c>
      <c r="B1" s="24" t="s">
        <v>262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customFormat="false" ht="31.5" hidden="false" customHeight="true" outlineLevel="0" collapsed="false">
      <c r="A2" s="14" t="s">
        <v>78</v>
      </c>
      <c r="B2" s="14" t="s">
        <v>23</v>
      </c>
      <c r="C2" s="14" t="s">
        <v>81</v>
      </c>
      <c r="D2" s="14" t="s">
        <v>83</v>
      </c>
      <c r="E2" s="14" t="s">
        <v>85</v>
      </c>
      <c r="F2" s="14" t="s">
        <v>87</v>
      </c>
      <c r="G2" s="14" t="s">
        <v>89</v>
      </c>
      <c r="H2" s="14" t="s">
        <v>91</v>
      </c>
      <c r="I2" s="14" t="s">
        <v>93</v>
      </c>
      <c r="J2" s="14" t="s">
        <v>95</v>
      </c>
      <c r="K2" s="14" t="s">
        <v>97</v>
      </c>
      <c r="L2" s="14" t="s">
        <v>99</v>
      </c>
      <c r="M2" s="14" t="s">
        <v>101</v>
      </c>
      <c r="N2" s="14" t="s">
        <v>103</v>
      </c>
      <c r="O2" s="14" t="s">
        <v>105</v>
      </c>
      <c r="P2" s="14" t="s">
        <v>107</v>
      </c>
      <c r="Q2" s="14" t="s">
        <v>109</v>
      </c>
      <c r="R2" s="14" t="s">
        <v>111</v>
      </c>
      <c r="S2" s="14" t="s">
        <v>113</v>
      </c>
      <c r="T2" s="14" t="s">
        <v>115</v>
      </c>
      <c r="U2" s="14" t="s">
        <v>117</v>
      </c>
      <c r="V2" s="14" t="s">
        <v>119</v>
      </c>
      <c r="W2" s="14" t="s">
        <v>121</v>
      </c>
      <c r="X2" s="14" t="s">
        <v>123</v>
      </c>
      <c r="Y2" s="14" t="s">
        <v>125</v>
      </c>
      <c r="Z2" s="14" t="s">
        <v>27</v>
      </c>
      <c r="AA2" s="14" t="s">
        <v>128</v>
      </c>
      <c r="AB2" s="14" t="s">
        <v>130</v>
      </c>
      <c r="AC2" s="14" t="s">
        <v>132</v>
      </c>
      <c r="AD2" s="14" t="s">
        <v>134</v>
      </c>
    </row>
    <row r="3" customFormat="false" ht="33.75" hidden="false" customHeight="true" outlineLevel="0" collapsed="false">
      <c r="A3" s="25" t="s">
        <v>263</v>
      </c>
      <c r="B3" s="25" t="s">
        <v>158</v>
      </c>
      <c r="C3" s="25" t="str">
        <f aca="false">IFERROR(INDEX('AI Inventory'!$B$3:$B$200,MATCH(B3,'AI Inventory'!$A$3:$A$200,0)),"")</f>
        <v>Customer service assistant</v>
      </c>
      <c r="D3" s="25" t="s">
        <v>181</v>
      </c>
      <c r="E3" s="25" t="s">
        <v>182</v>
      </c>
      <c r="F3" s="25" t="s">
        <v>264</v>
      </c>
      <c r="G3" s="25" t="s">
        <v>265</v>
      </c>
      <c r="H3" s="25" t="s">
        <v>266</v>
      </c>
      <c r="I3" s="25" t="s">
        <v>267</v>
      </c>
      <c r="J3" s="25" t="s">
        <v>268</v>
      </c>
      <c r="K3" s="25" t="n">
        <v>2</v>
      </c>
      <c r="L3" s="25" t="n">
        <v>2</v>
      </c>
      <c r="M3" s="25" t="n">
        <v>3</v>
      </c>
      <c r="N3" s="25" t="s">
        <v>269</v>
      </c>
      <c r="O3" s="25" t="s">
        <v>270</v>
      </c>
      <c r="P3" s="25" t="s">
        <v>178</v>
      </c>
      <c r="Q3" s="25" t="s">
        <v>271</v>
      </c>
      <c r="R3" s="25" t="s">
        <v>272</v>
      </c>
      <c r="S3" s="25" t="s">
        <v>179</v>
      </c>
      <c r="T3" s="25" t="s">
        <v>273</v>
      </c>
      <c r="U3" s="25" t="s">
        <v>274</v>
      </c>
      <c r="V3" s="25" t="s">
        <v>275</v>
      </c>
      <c r="W3" s="25" t="s">
        <v>276</v>
      </c>
      <c r="X3" s="25" t="s">
        <v>277</v>
      </c>
      <c r="Y3" s="25" t="s">
        <v>278</v>
      </c>
      <c r="Z3" s="25" t="s">
        <v>279</v>
      </c>
      <c r="AA3" s="30" t="n">
        <f aca="false">K3*M3</f>
        <v>6</v>
      </c>
      <c r="AB3" s="31" t="str">
        <f aca="false">IF(AA3&gt;=12,"Critical",IF(AA3&gt;=8,"High",IF(AA3&gt;=4,"Medium","Low")))</f>
        <v>Medium</v>
      </c>
      <c r="AC3" s="30" t="n">
        <f aca="false">L3*M3</f>
        <v>6</v>
      </c>
      <c r="AD3" s="31" t="str">
        <f aca="false">IF(AC3&gt;=12,"Critical",IF(AC3&gt;=8,"High",IF(AC3&gt;=4,"Medium","Low")))</f>
        <v>Medium</v>
      </c>
    </row>
    <row r="4" customFormat="false" ht="33.75" hidden="false" customHeight="true" outlineLevel="0" collapsed="false">
      <c r="A4" s="27" t="s">
        <v>280</v>
      </c>
      <c r="B4" s="27" t="s">
        <v>158</v>
      </c>
      <c r="C4" s="27" t="str">
        <f aca="false">IFERROR(INDEX('AI Inventory'!$B$3:$B$200,MATCH(B4,'AI Inventory'!$A$3:$A$200,0)),"")</f>
        <v>Customer service assistant</v>
      </c>
      <c r="D4" s="27" t="s">
        <v>181</v>
      </c>
      <c r="E4" s="27" t="s">
        <v>281</v>
      </c>
      <c r="F4" s="27" t="s">
        <v>282</v>
      </c>
      <c r="G4" s="27" t="s">
        <v>283</v>
      </c>
      <c r="H4" s="27" t="s">
        <v>284</v>
      </c>
      <c r="I4" s="27" t="s">
        <v>285</v>
      </c>
      <c r="J4" s="27" t="s">
        <v>286</v>
      </c>
      <c r="K4" s="27" t="n">
        <v>3</v>
      </c>
      <c r="L4" s="27" t="n">
        <v>3</v>
      </c>
      <c r="M4" s="27" t="n">
        <v>2</v>
      </c>
      <c r="N4" s="27" t="s">
        <v>287</v>
      </c>
      <c r="O4" s="27" t="s">
        <v>270</v>
      </c>
      <c r="P4" s="27" t="s">
        <v>178</v>
      </c>
      <c r="Q4" s="27" t="s">
        <v>271</v>
      </c>
      <c r="R4" s="27" t="s">
        <v>288</v>
      </c>
      <c r="S4" s="27" t="s">
        <v>179</v>
      </c>
      <c r="T4" s="27" t="s">
        <v>289</v>
      </c>
      <c r="U4" s="27" t="s">
        <v>290</v>
      </c>
      <c r="V4" s="27" t="s">
        <v>291</v>
      </c>
      <c r="W4" s="27" t="s">
        <v>281</v>
      </c>
      <c r="X4" s="27" t="s">
        <v>292</v>
      </c>
      <c r="Y4" s="27" t="s">
        <v>278</v>
      </c>
      <c r="Z4" s="27" t="s">
        <v>279</v>
      </c>
      <c r="AA4" s="32" t="n">
        <f aca="false">K4*M4</f>
        <v>6</v>
      </c>
      <c r="AB4" s="33" t="str">
        <f aca="false">IF(AA4&gt;=12,"Critical",IF(AA4&gt;=8,"High",IF(AA4&gt;=4,"Medium","Low")))</f>
        <v>Medium</v>
      </c>
      <c r="AC4" s="32" t="n">
        <f aca="false">L4*M4</f>
        <v>6</v>
      </c>
      <c r="AD4" s="33" t="str">
        <f aca="false">IF(AC4&gt;=12,"Critical",IF(AC4&gt;=8,"High",IF(AC4&gt;=4,"Medium","Low")))</f>
        <v>Medium</v>
      </c>
    </row>
    <row r="5" customFormat="false" ht="33.75" hidden="false" customHeight="true" outlineLevel="0" collapsed="false">
      <c r="A5" s="25" t="s">
        <v>293</v>
      </c>
      <c r="B5" s="25" t="s">
        <v>158</v>
      </c>
      <c r="C5" s="25" t="str">
        <f aca="false">IFERROR(INDEX('AI Inventory'!$B$3:$B$200,MATCH(B5,'AI Inventory'!$A$3:$A$200,0)),"")</f>
        <v>Customer service assistant</v>
      </c>
      <c r="D5" s="25" t="s">
        <v>181</v>
      </c>
      <c r="E5" s="25" t="s">
        <v>182</v>
      </c>
      <c r="F5" s="25" t="s">
        <v>294</v>
      </c>
      <c r="G5" s="25" t="s">
        <v>295</v>
      </c>
      <c r="H5" s="25" t="s">
        <v>296</v>
      </c>
      <c r="I5" s="25" t="s">
        <v>297</v>
      </c>
      <c r="J5" s="25" t="s">
        <v>298</v>
      </c>
      <c r="K5" s="25" t="n">
        <v>2</v>
      </c>
      <c r="L5" s="25" t="n">
        <v>3</v>
      </c>
      <c r="M5" s="25" t="n">
        <v>2</v>
      </c>
      <c r="N5" s="25" t="s">
        <v>299</v>
      </c>
      <c r="O5" s="25" t="s">
        <v>270</v>
      </c>
      <c r="P5" s="25" t="s">
        <v>178</v>
      </c>
      <c r="Q5" s="25" t="s">
        <v>271</v>
      </c>
      <c r="R5" s="25" t="s">
        <v>300</v>
      </c>
      <c r="S5" s="25" t="s">
        <v>179</v>
      </c>
      <c r="T5" s="25" t="s">
        <v>301</v>
      </c>
      <c r="U5" s="25" t="s">
        <v>302</v>
      </c>
      <c r="V5" s="25" t="s">
        <v>303</v>
      </c>
      <c r="W5" s="25" t="s">
        <v>179</v>
      </c>
      <c r="X5" s="25" t="s">
        <v>304</v>
      </c>
      <c r="Y5" s="25" t="s">
        <v>305</v>
      </c>
      <c r="Z5" s="25" t="s">
        <v>279</v>
      </c>
      <c r="AA5" s="30" t="n">
        <f aca="false">K5*M5</f>
        <v>4</v>
      </c>
      <c r="AB5" s="31" t="str">
        <f aca="false">IF(AA5&gt;=12,"Critical",IF(AA5&gt;=8,"High",IF(AA5&gt;=4,"Medium","Low")))</f>
        <v>Medium</v>
      </c>
      <c r="AC5" s="30" t="n">
        <f aca="false">L5*M5</f>
        <v>6</v>
      </c>
      <c r="AD5" s="31" t="str">
        <f aca="false">IF(AC5&gt;=12,"Critical",IF(AC5&gt;=8,"High",IF(AC5&gt;=4,"Medium","Low")))</f>
        <v>Medium</v>
      </c>
    </row>
    <row r="6" customFormat="false" ht="33.75" hidden="false" customHeight="true" outlineLevel="0" collapsed="false">
      <c r="A6" s="27" t="s">
        <v>306</v>
      </c>
      <c r="B6" s="27" t="s">
        <v>158</v>
      </c>
      <c r="C6" s="27" t="str">
        <f aca="false">IFERROR(INDEX('AI Inventory'!$B$3:$B$200,MATCH(B6,'AI Inventory'!$A$3:$A$200,0)),"")</f>
        <v>Customer service assistant</v>
      </c>
      <c r="D6" s="27" t="s">
        <v>181</v>
      </c>
      <c r="E6" s="27" t="s">
        <v>182</v>
      </c>
      <c r="F6" s="27" t="s">
        <v>307</v>
      </c>
      <c r="G6" s="27" t="s">
        <v>308</v>
      </c>
      <c r="H6" s="27" t="s">
        <v>309</v>
      </c>
      <c r="I6" s="27" t="s">
        <v>267</v>
      </c>
      <c r="J6" s="27" t="s">
        <v>310</v>
      </c>
      <c r="K6" s="27" t="n">
        <v>2</v>
      </c>
      <c r="L6" s="27" t="n">
        <v>2</v>
      </c>
      <c r="M6" s="27" t="n">
        <v>3</v>
      </c>
      <c r="N6" s="27" t="s">
        <v>311</v>
      </c>
      <c r="O6" s="27" t="s">
        <v>270</v>
      </c>
      <c r="P6" s="27" t="s">
        <v>178</v>
      </c>
      <c r="Q6" s="27" t="s">
        <v>271</v>
      </c>
      <c r="R6" s="27" t="s">
        <v>312</v>
      </c>
      <c r="S6" s="27" t="s">
        <v>179</v>
      </c>
      <c r="T6" s="27" t="s">
        <v>313</v>
      </c>
      <c r="U6" s="27" t="s">
        <v>314</v>
      </c>
      <c r="V6" s="27" t="s">
        <v>315</v>
      </c>
      <c r="W6" s="27" t="s">
        <v>179</v>
      </c>
      <c r="X6" s="27" t="s">
        <v>316</v>
      </c>
      <c r="Y6" s="27" t="s">
        <v>278</v>
      </c>
      <c r="Z6" s="27" t="s">
        <v>279</v>
      </c>
      <c r="AA6" s="32" t="n">
        <f aca="false">K6*M6</f>
        <v>6</v>
      </c>
      <c r="AB6" s="33" t="str">
        <f aca="false">IF(AA6&gt;=12,"Critical",IF(AA6&gt;=8,"High",IF(AA6&gt;=4,"Medium","Low")))</f>
        <v>Medium</v>
      </c>
      <c r="AC6" s="32" t="n">
        <f aca="false">L6*M6</f>
        <v>6</v>
      </c>
      <c r="AD6" s="33" t="str">
        <f aca="false">IF(AC6&gt;=12,"Critical",IF(AC6&gt;=8,"High",IF(AC6&gt;=4,"Medium","Low")))</f>
        <v>Medium</v>
      </c>
    </row>
    <row r="7" customFormat="false" ht="33.75" hidden="false" customHeight="true" outlineLevel="0" collapsed="false">
      <c r="A7" s="25" t="s">
        <v>317</v>
      </c>
      <c r="B7" s="25" t="s">
        <v>183</v>
      </c>
      <c r="C7" s="25" t="str">
        <f aca="false">IFERROR(INDEX('AI Inventory'!$B$3:$B$200,MATCH(B7,'AI Inventory'!$A$3:$A$200,0)),"")</f>
        <v>Candidate screening tool</v>
      </c>
      <c r="D7" s="25" t="s">
        <v>181</v>
      </c>
      <c r="E7" s="25" t="s">
        <v>200</v>
      </c>
      <c r="F7" s="25" t="s">
        <v>318</v>
      </c>
      <c r="G7" s="25" t="s">
        <v>319</v>
      </c>
      <c r="H7" s="25" t="s">
        <v>320</v>
      </c>
      <c r="I7" s="25" t="s">
        <v>321</v>
      </c>
      <c r="J7" s="25" t="s">
        <v>322</v>
      </c>
      <c r="K7" s="25" t="n">
        <v>4</v>
      </c>
      <c r="L7" s="25" t="n">
        <v>3</v>
      </c>
      <c r="M7" s="25" t="n">
        <v>3</v>
      </c>
      <c r="N7" s="25" t="s">
        <v>323</v>
      </c>
      <c r="O7" s="25" t="s">
        <v>270</v>
      </c>
      <c r="P7" s="25" t="s">
        <v>200</v>
      </c>
      <c r="Q7" s="25" t="s">
        <v>271</v>
      </c>
      <c r="R7" s="25" t="s">
        <v>324</v>
      </c>
      <c r="S7" s="25" t="s">
        <v>201</v>
      </c>
      <c r="T7" s="25" t="s">
        <v>313</v>
      </c>
      <c r="U7" s="25" t="s">
        <v>325</v>
      </c>
      <c r="V7" s="25" t="s">
        <v>326</v>
      </c>
      <c r="W7" s="25" t="s">
        <v>201</v>
      </c>
      <c r="X7" s="25" t="s">
        <v>327</v>
      </c>
      <c r="Y7" s="25" t="s">
        <v>278</v>
      </c>
      <c r="Z7" s="25" t="s">
        <v>279</v>
      </c>
      <c r="AA7" s="30" t="n">
        <f aca="false">K7*M7</f>
        <v>12</v>
      </c>
      <c r="AB7" s="31" t="str">
        <f aca="false">IF(AA7&gt;=12,"Critical",IF(AA7&gt;=8,"High",IF(AA7&gt;=4,"Medium","Low")))</f>
        <v>Critical</v>
      </c>
      <c r="AC7" s="30" t="n">
        <f aca="false">L7*M7</f>
        <v>9</v>
      </c>
      <c r="AD7" s="31" t="str">
        <f aca="false">IF(AC7&gt;=12,"Critical",IF(AC7&gt;=8,"High",IF(AC7&gt;=4,"Medium","Low")))</f>
        <v>High</v>
      </c>
    </row>
    <row r="8" customFormat="false" ht="33.75" hidden="false" customHeight="true" outlineLevel="0" collapsed="false">
      <c r="A8" s="27" t="s">
        <v>328</v>
      </c>
      <c r="B8" s="27" t="s">
        <v>183</v>
      </c>
      <c r="C8" s="27" t="str">
        <f aca="false">IFERROR(INDEX('AI Inventory'!$B$3:$B$200,MATCH(B8,'AI Inventory'!$A$3:$A$200,0)),"")</f>
        <v>Candidate screening tool</v>
      </c>
      <c r="D8" s="27" t="s">
        <v>181</v>
      </c>
      <c r="E8" s="27" t="s">
        <v>281</v>
      </c>
      <c r="F8" s="27" t="s">
        <v>329</v>
      </c>
      <c r="G8" s="27" t="s">
        <v>330</v>
      </c>
      <c r="H8" s="27" t="s">
        <v>331</v>
      </c>
      <c r="I8" s="27" t="s">
        <v>332</v>
      </c>
      <c r="J8" s="27" t="s">
        <v>333</v>
      </c>
      <c r="K8" s="27" t="n">
        <v>4</v>
      </c>
      <c r="L8" s="27" t="n">
        <v>3</v>
      </c>
      <c r="M8" s="27" t="n">
        <v>4</v>
      </c>
      <c r="N8" s="27" t="s">
        <v>334</v>
      </c>
      <c r="O8" s="27" t="s">
        <v>270</v>
      </c>
      <c r="P8" s="27" t="s">
        <v>200</v>
      </c>
      <c r="Q8" s="27" t="s">
        <v>271</v>
      </c>
      <c r="R8" s="27" t="s">
        <v>335</v>
      </c>
      <c r="S8" s="27" t="s">
        <v>201</v>
      </c>
      <c r="T8" s="27" t="s">
        <v>336</v>
      </c>
      <c r="U8" s="27" t="s">
        <v>337</v>
      </c>
      <c r="V8" s="27" t="s">
        <v>338</v>
      </c>
      <c r="W8" s="27" t="s">
        <v>201</v>
      </c>
      <c r="X8" s="27" t="s">
        <v>339</v>
      </c>
      <c r="Y8" s="27" t="s">
        <v>278</v>
      </c>
      <c r="Z8" s="27" t="s">
        <v>279</v>
      </c>
      <c r="AA8" s="32" t="n">
        <f aca="false">K8*M8</f>
        <v>16</v>
      </c>
      <c r="AB8" s="33" t="str">
        <f aca="false">IF(AA8&gt;=12,"Critical",IF(AA8&gt;=8,"High",IF(AA8&gt;=4,"Medium","Low")))</f>
        <v>Critical</v>
      </c>
      <c r="AC8" s="32" t="n">
        <f aca="false">L8*M8</f>
        <v>12</v>
      </c>
      <c r="AD8" s="33" t="str">
        <f aca="false">IF(AC8&gt;=12,"Critical",IF(AC8&gt;=8,"High",IF(AC8&gt;=4,"Medium","Low")))</f>
        <v>Critical</v>
      </c>
    </row>
    <row r="9" customFormat="false" ht="33.75" hidden="false" customHeight="true" outlineLevel="0" collapsed="false">
      <c r="A9" s="25" t="s">
        <v>340</v>
      </c>
      <c r="B9" s="25" t="s">
        <v>183</v>
      </c>
      <c r="C9" s="25" t="str">
        <f aca="false">IFERROR(INDEX('AI Inventory'!$B$3:$B$200,MATCH(B9,'AI Inventory'!$A$3:$A$200,0)),"")</f>
        <v>Candidate screening tool</v>
      </c>
      <c r="D9" s="25" t="s">
        <v>181</v>
      </c>
      <c r="E9" s="25" t="s">
        <v>182</v>
      </c>
      <c r="F9" s="25" t="s">
        <v>341</v>
      </c>
      <c r="G9" s="25" t="s">
        <v>342</v>
      </c>
      <c r="H9" s="25" t="s">
        <v>343</v>
      </c>
      <c r="I9" s="25" t="s">
        <v>267</v>
      </c>
      <c r="J9" s="25" t="s">
        <v>344</v>
      </c>
      <c r="K9" s="25" t="n">
        <v>2</v>
      </c>
      <c r="L9" s="25" t="n">
        <v>3</v>
      </c>
      <c r="M9" s="25" t="n">
        <v>3</v>
      </c>
      <c r="N9" s="25" t="s">
        <v>345</v>
      </c>
      <c r="O9" s="25" t="s">
        <v>270</v>
      </c>
      <c r="P9" s="25" t="s">
        <v>200</v>
      </c>
      <c r="Q9" s="25" t="s">
        <v>271</v>
      </c>
      <c r="R9" s="25" t="s">
        <v>346</v>
      </c>
      <c r="S9" s="25" t="s">
        <v>201</v>
      </c>
      <c r="T9" s="25" t="s">
        <v>347</v>
      </c>
      <c r="U9" s="25" t="s">
        <v>348</v>
      </c>
      <c r="V9" s="25" t="s">
        <v>349</v>
      </c>
      <c r="W9" s="25" t="s">
        <v>182</v>
      </c>
      <c r="X9" s="25" t="s">
        <v>350</v>
      </c>
      <c r="Y9" s="25" t="s">
        <v>305</v>
      </c>
      <c r="Z9" s="25" t="s">
        <v>351</v>
      </c>
      <c r="AA9" s="30" t="n">
        <f aca="false">K9*M9</f>
        <v>6</v>
      </c>
      <c r="AB9" s="31" t="str">
        <f aca="false">IF(AA9&gt;=12,"Critical",IF(AA9&gt;=8,"High",IF(AA9&gt;=4,"Medium","Low")))</f>
        <v>Medium</v>
      </c>
      <c r="AC9" s="30" t="n">
        <f aca="false">L9*M9</f>
        <v>9</v>
      </c>
      <c r="AD9" s="31" t="str">
        <f aca="false">IF(AC9&gt;=12,"Critical",IF(AC9&gt;=8,"High",IF(AC9&gt;=4,"Medium","Low")))</f>
        <v>High</v>
      </c>
    </row>
    <row r="10" customFormat="false" ht="33.75" hidden="false" customHeight="true" outlineLevel="0" collapsed="false">
      <c r="A10" s="27" t="s">
        <v>352</v>
      </c>
      <c r="B10" s="27" t="s">
        <v>183</v>
      </c>
      <c r="C10" s="27" t="str">
        <f aca="false">IFERROR(INDEX('AI Inventory'!$B$3:$B$200,MATCH(B10,'AI Inventory'!$A$3:$A$200,0)),"")</f>
        <v>Candidate screening tool</v>
      </c>
      <c r="D10" s="27" t="s">
        <v>353</v>
      </c>
      <c r="E10" s="27" t="s">
        <v>182</v>
      </c>
      <c r="F10" s="27" t="s">
        <v>354</v>
      </c>
      <c r="G10" s="27" t="s">
        <v>355</v>
      </c>
      <c r="H10" s="27" t="s">
        <v>356</v>
      </c>
      <c r="I10" s="27" t="s">
        <v>321</v>
      </c>
      <c r="J10" s="27" t="s">
        <v>357</v>
      </c>
      <c r="K10" s="27" t="n">
        <v>3</v>
      </c>
      <c r="L10" s="27" t="n">
        <v>3</v>
      </c>
      <c r="M10" s="27" t="n">
        <v>2</v>
      </c>
      <c r="N10" s="27" t="s">
        <v>358</v>
      </c>
      <c r="O10" s="27" t="s">
        <v>359</v>
      </c>
      <c r="P10" s="27" t="s">
        <v>200</v>
      </c>
      <c r="Q10" s="27" t="s">
        <v>353</v>
      </c>
      <c r="R10" s="27" t="s">
        <v>360</v>
      </c>
      <c r="S10" s="27" t="s">
        <v>200</v>
      </c>
      <c r="T10" s="27" t="s">
        <v>353</v>
      </c>
      <c r="U10" s="27" t="s">
        <v>361</v>
      </c>
      <c r="V10" s="27" t="s">
        <v>362</v>
      </c>
      <c r="W10" s="27" t="s">
        <v>182</v>
      </c>
      <c r="X10" s="27" t="s">
        <v>363</v>
      </c>
      <c r="Y10" s="27" t="s">
        <v>305</v>
      </c>
      <c r="Z10" s="27" t="s">
        <v>364</v>
      </c>
      <c r="AA10" s="32" t="n">
        <f aca="false">K10*M10</f>
        <v>6</v>
      </c>
      <c r="AB10" s="33" t="str">
        <f aca="false">IF(AA10&gt;=12,"Critical",IF(AA10&gt;=8,"High",IF(AA10&gt;=4,"Medium","Low")))</f>
        <v>Medium</v>
      </c>
      <c r="AC10" s="32" t="n">
        <f aca="false">L10*M10</f>
        <v>6</v>
      </c>
      <c r="AD10" s="33" t="str">
        <f aca="false">IF(AC10&gt;=12,"Critical",IF(AC10&gt;=8,"High",IF(AC10&gt;=4,"Medium","Low")))</f>
        <v>Medium</v>
      </c>
    </row>
    <row r="11" customFormat="false" ht="33.75" hidden="false" customHeight="true" outlineLevel="0" collapsed="false">
      <c r="A11" s="25" t="s">
        <v>365</v>
      </c>
      <c r="B11" s="25" t="s">
        <v>183</v>
      </c>
      <c r="C11" s="25" t="str">
        <f aca="false">IFERROR(INDEX('AI Inventory'!$B$3:$B$200,MATCH(B11,'AI Inventory'!$A$3:$A$200,0)),"")</f>
        <v>Candidate screening tool</v>
      </c>
      <c r="D11" s="25" t="s">
        <v>181</v>
      </c>
      <c r="E11" s="25" t="s">
        <v>281</v>
      </c>
      <c r="F11" s="25" t="s">
        <v>366</v>
      </c>
      <c r="G11" s="25" t="s">
        <v>367</v>
      </c>
      <c r="H11" s="25" t="s">
        <v>368</v>
      </c>
      <c r="I11" s="25" t="s">
        <v>332</v>
      </c>
      <c r="J11" s="25" t="s">
        <v>369</v>
      </c>
      <c r="K11" s="25" t="n">
        <v>2</v>
      </c>
      <c r="L11" s="25" t="n">
        <v>2</v>
      </c>
      <c r="M11" s="25" t="n">
        <v>3</v>
      </c>
      <c r="N11" s="25" t="s">
        <v>370</v>
      </c>
      <c r="O11" s="25" t="s">
        <v>270</v>
      </c>
      <c r="P11" s="25" t="s">
        <v>200</v>
      </c>
      <c r="Q11" s="25" t="s">
        <v>271</v>
      </c>
      <c r="R11" s="25" t="s">
        <v>371</v>
      </c>
      <c r="S11" s="25" t="s">
        <v>201</v>
      </c>
      <c r="T11" s="25" t="s">
        <v>301</v>
      </c>
      <c r="U11" s="25" t="s">
        <v>372</v>
      </c>
      <c r="V11" s="25" t="s">
        <v>373</v>
      </c>
      <c r="W11" s="25" t="s">
        <v>281</v>
      </c>
      <c r="X11" s="25" t="s">
        <v>374</v>
      </c>
      <c r="Y11" s="25" t="s">
        <v>278</v>
      </c>
      <c r="Z11" s="25" t="s">
        <v>279</v>
      </c>
      <c r="AA11" s="30" t="n">
        <f aca="false">K11*M11</f>
        <v>6</v>
      </c>
      <c r="AB11" s="31" t="str">
        <f aca="false">IF(AA11&gt;=12,"Critical",IF(AA11&gt;=8,"High",IF(AA11&gt;=4,"Medium","Low")))</f>
        <v>Medium</v>
      </c>
      <c r="AC11" s="30" t="n">
        <f aca="false">L11*M11</f>
        <v>6</v>
      </c>
      <c r="AD11" s="31" t="str">
        <f aca="false">IF(AC11&gt;=12,"Critical",IF(AC11&gt;=8,"High",IF(AC11&gt;=4,"Medium","Low")))</f>
        <v>Medium</v>
      </c>
    </row>
    <row r="12" customFormat="false" ht="33.75" hidden="false" customHeight="true" outlineLevel="0" collapsed="false">
      <c r="A12" s="27" t="s">
        <v>375</v>
      </c>
      <c r="B12" s="27" t="s">
        <v>202</v>
      </c>
      <c r="C12" s="27" t="str">
        <f aca="false">IFERROR(INDEX('AI Inventory'!$B$3:$B$200,MATCH(B12,'AI Inventory'!$A$3:$A$200,0)),"")</f>
        <v>Payment fraud detection</v>
      </c>
      <c r="D12" s="27" t="s">
        <v>181</v>
      </c>
      <c r="E12" s="27" t="s">
        <v>218</v>
      </c>
      <c r="F12" s="27" t="s">
        <v>376</v>
      </c>
      <c r="G12" s="27" t="s">
        <v>377</v>
      </c>
      <c r="H12" s="27" t="s">
        <v>378</v>
      </c>
      <c r="I12" s="27" t="s">
        <v>321</v>
      </c>
      <c r="J12" s="27" t="s">
        <v>379</v>
      </c>
      <c r="K12" s="27" t="n">
        <v>2</v>
      </c>
      <c r="L12" s="27" t="n">
        <v>2</v>
      </c>
      <c r="M12" s="27" t="n">
        <v>3</v>
      </c>
      <c r="N12" s="27" t="s">
        <v>380</v>
      </c>
      <c r="O12" s="27" t="s">
        <v>270</v>
      </c>
      <c r="P12" s="27" t="s">
        <v>218</v>
      </c>
      <c r="Q12" s="27" t="s">
        <v>271</v>
      </c>
      <c r="R12" s="27" t="s">
        <v>381</v>
      </c>
      <c r="S12" s="27" t="s">
        <v>219</v>
      </c>
      <c r="T12" s="27" t="s">
        <v>273</v>
      </c>
      <c r="U12" s="27" t="s">
        <v>382</v>
      </c>
      <c r="V12" s="27" t="s">
        <v>383</v>
      </c>
      <c r="W12" s="27" t="s">
        <v>219</v>
      </c>
      <c r="X12" s="27" t="s">
        <v>384</v>
      </c>
      <c r="Y12" s="27" t="s">
        <v>278</v>
      </c>
      <c r="Z12" s="27" t="s">
        <v>279</v>
      </c>
      <c r="AA12" s="32" t="n">
        <f aca="false">K12*M12</f>
        <v>6</v>
      </c>
      <c r="AB12" s="33" t="str">
        <f aca="false">IF(AA12&gt;=12,"Critical",IF(AA12&gt;=8,"High",IF(AA12&gt;=4,"Medium","Low")))</f>
        <v>Medium</v>
      </c>
      <c r="AC12" s="32" t="n">
        <f aca="false">L12*M12</f>
        <v>6</v>
      </c>
      <c r="AD12" s="33" t="str">
        <f aca="false">IF(AC12&gt;=12,"Critical",IF(AC12&gt;=8,"High",IF(AC12&gt;=4,"Medium","Low")))</f>
        <v>Medium</v>
      </c>
    </row>
    <row r="13" customFormat="false" ht="33.75" hidden="false" customHeight="true" outlineLevel="0" collapsed="false">
      <c r="A13" s="25" t="s">
        <v>385</v>
      </c>
      <c r="B13" s="25" t="s">
        <v>202</v>
      </c>
      <c r="C13" s="25" t="str">
        <f aca="false">IFERROR(INDEX('AI Inventory'!$B$3:$B$200,MATCH(B13,'AI Inventory'!$A$3:$A$200,0)),"")</f>
        <v>Payment fraud detection</v>
      </c>
      <c r="D13" s="25" t="s">
        <v>181</v>
      </c>
      <c r="E13" s="25" t="s">
        <v>218</v>
      </c>
      <c r="F13" s="25" t="s">
        <v>386</v>
      </c>
      <c r="G13" s="25" t="s">
        <v>387</v>
      </c>
      <c r="H13" s="25" t="s">
        <v>388</v>
      </c>
      <c r="I13" s="25" t="s">
        <v>208</v>
      </c>
      <c r="J13" s="25" t="s">
        <v>389</v>
      </c>
      <c r="K13" s="25" t="n">
        <v>1</v>
      </c>
      <c r="L13" s="25" t="n">
        <v>3</v>
      </c>
      <c r="M13" s="25" t="n">
        <v>3</v>
      </c>
      <c r="N13" s="25" t="s">
        <v>390</v>
      </c>
      <c r="O13" s="25" t="s">
        <v>391</v>
      </c>
      <c r="P13" s="25" t="s">
        <v>218</v>
      </c>
      <c r="Q13" s="25" t="s">
        <v>271</v>
      </c>
      <c r="R13" s="25" t="s">
        <v>392</v>
      </c>
      <c r="S13" s="25" t="s">
        <v>209</v>
      </c>
      <c r="T13" s="25" t="s">
        <v>209</v>
      </c>
      <c r="U13" s="25" t="s">
        <v>393</v>
      </c>
      <c r="V13" s="25" t="s">
        <v>394</v>
      </c>
      <c r="W13" s="25" t="s">
        <v>218</v>
      </c>
      <c r="X13" s="25" t="s">
        <v>395</v>
      </c>
      <c r="Y13" s="25" t="s">
        <v>278</v>
      </c>
      <c r="Z13" s="25" t="s">
        <v>396</v>
      </c>
      <c r="AA13" s="30" t="n">
        <f aca="false">K13*M13</f>
        <v>3</v>
      </c>
      <c r="AB13" s="31" t="str">
        <f aca="false">IF(AA13&gt;=12,"Critical",IF(AA13&gt;=8,"High",IF(AA13&gt;=4,"Medium","Low")))</f>
        <v>Low</v>
      </c>
      <c r="AC13" s="30" t="n">
        <f aca="false">L13*M13</f>
        <v>9</v>
      </c>
      <c r="AD13" s="31" t="str">
        <f aca="false">IF(AC13&gt;=12,"Critical",IF(AC13&gt;=8,"High",IF(AC13&gt;=4,"Medium","Low")))</f>
        <v>High</v>
      </c>
    </row>
    <row r="14" customFormat="false" ht="33.75" hidden="false" customHeight="true" outlineLevel="0" collapsed="false">
      <c r="A14" s="27" t="s">
        <v>397</v>
      </c>
      <c r="B14" s="27" t="s">
        <v>202</v>
      </c>
      <c r="C14" s="27" t="str">
        <f aca="false">IFERROR(INDEX('AI Inventory'!$B$3:$B$200,MATCH(B14,'AI Inventory'!$A$3:$A$200,0)),"")</f>
        <v>Payment fraud detection</v>
      </c>
      <c r="D14" s="27" t="s">
        <v>181</v>
      </c>
      <c r="E14" s="27" t="s">
        <v>281</v>
      </c>
      <c r="F14" s="27" t="s">
        <v>398</v>
      </c>
      <c r="G14" s="27" t="s">
        <v>399</v>
      </c>
      <c r="H14" s="27" t="s">
        <v>400</v>
      </c>
      <c r="I14" s="27" t="s">
        <v>332</v>
      </c>
      <c r="J14" s="27" t="s">
        <v>401</v>
      </c>
      <c r="K14" s="27" t="n">
        <v>2</v>
      </c>
      <c r="L14" s="27" t="n">
        <v>2</v>
      </c>
      <c r="M14" s="27" t="n">
        <v>2</v>
      </c>
      <c r="N14" s="27" t="s">
        <v>402</v>
      </c>
      <c r="O14" s="27" t="s">
        <v>270</v>
      </c>
      <c r="P14" s="27" t="s">
        <v>218</v>
      </c>
      <c r="Q14" s="27" t="s">
        <v>271</v>
      </c>
      <c r="R14" s="27" t="s">
        <v>403</v>
      </c>
      <c r="S14" s="27" t="s">
        <v>219</v>
      </c>
      <c r="T14" s="27" t="s">
        <v>336</v>
      </c>
      <c r="U14" s="27" t="s">
        <v>404</v>
      </c>
      <c r="V14" s="27" t="s">
        <v>362</v>
      </c>
      <c r="W14" s="27" t="s">
        <v>218</v>
      </c>
      <c r="X14" s="27" t="s">
        <v>405</v>
      </c>
      <c r="Y14" s="27" t="s">
        <v>278</v>
      </c>
      <c r="Z14" s="27" t="s">
        <v>279</v>
      </c>
      <c r="AA14" s="32" t="n">
        <f aca="false">K14*M14</f>
        <v>4</v>
      </c>
      <c r="AB14" s="33" t="str">
        <f aca="false">IF(AA14&gt;=12,"Critical",IF(AA14&gt;=8,"High",IF(AA14&gt;=4,"Medium","Low")))</f>
        <v>Medium</v>
      </c>
      <c r="AC14" s="32" t="n">
        <f aca="false">L14*M14</f>
        <v>4</v>
      </c>
      <c r="AD14" s="33" t="str">
        <f aca="false">IF(AC14&gt;=12,"Critical",IF(AC14&gt;=8,"High",IF(AC14&gt;=4,"Medium","Low")))</f>
        <v>Medium</v>
      </c>
    </row>
    <row r="15" customFormat="false" ht="33.75" hidden="false" customHeight="true" outlineLevel="0" collapsed="false">
      <c r="A15" s="25" t="s">
        <v>406</v>
      </c>
      <c r="B15" s="25" t="s">
        <v>221</v>
      </c>
      <c r="C15" s="25" t="str">
        <f aca="false">IFERROR(INDEX('AI Inventory'!$B$3:$B$200,MATCH(B15,'AI Inventory'!$A$3:$A$200,0)),"")</f>
        <v>Demand forecasting</v>
      </c>
      <c r="D15" s="25" t="s">
        <v>181</v>
      </c>
      <c r="E15" s="25" t="s">
        <v>229</v>
      </c>
      <c r="F15" s="25" t="s">
        <v>407</v>
      </c>
      <c r="G15" s="25" t="s">
        <v>408</v>
      </c>
      <c r="H15" s="25" t="s">
        <v>409</v>
      </c>
      <c r="I15" s="25" t="s">
        <v>208</v>
      </c>
      <c r="J15" s="25" t="s">
        <v>410</v>
      </c>
      <c r="K15" s="25" t="n">
        <v>1</v>
      </c>
      <c r="L15" s="25" t="n">
        <v>2</v>
      </c>
      <c r="M15" s="25" t="n">
        <v>3</v>
      </c>
      <c r="N15" s="25" t="s">
        <v>411</v>
      </c>
      <c r="O15" s="25" t="s">
        <v>391</v>
      </c>
      <c r="P15" s="25" t="s">
        <v>229</v>
      </c>
      <c r="Q15" s="25" t="s">
        <v>271</v>
      </c>
      <c r="R15" s="25" t="s">
        <v>412</v>
      </c>
      <c r="S15" s="25" t="s">
        <v>209</v>
      </c>
      <c r="T15" s="25" t="s">
        <v>209</v>
      </c>
      <c r="U15" s="25" t="s">
        <v>413</v>
      </c>
      <c r="V15" s="25" t="s">
        <v>414</v>
      </c>
      <c r="W15" s="25" t="s">
        <v>229</v>
      </c>
      <c r="X15" s="25" t="s">
        <v>415</v>
      </c>
      <c r="Y15" s="25" t="s">
        <v>416</v>
      </c>
      <c r="Z15" s="25" t="s">
        <v>396</v>
      </c>
      <c r="AA15" s="30" t="n">
        <f aca="false">K15*M15</f>
        <v>3</v>
      </c>
      <c r="AB15" s="31" t="str">
        <f aca="false">IF(AA15&gt;=12,"Critical",IF(AA15&gt;=8,"High",IF(AA15&gt;=4,"Medium","Low")))</f>
        <v>Low</v>
      </c>
      <c r="AC15" s="30" t="n">
        <f aca="false">L15*M15</f>
        <v>6</v>
      </c>
      <c r="AD15" s="31" t="str">
        <f aca="false">IF(AC15&gt;=12,"Critical",IF(AC15&gt;=8,"High",IF(AC15&gt;=4,"Medium","Low")))</f>
        <v>Medium</v>
      </c>
    </row>
    <row r="16" customFormat="false" ht="33.75" hidden="false" customHeight="true" outlineLevel="0" collapsed="false">
      <c r="A16" s="27" t="s">
        <v>417</v>
      </c>
      <c r="B16" s="27" t="s">
        <v>230</v>
      </c>
      <c r="C16" s="27" t="str">
        <f aca="false">IFERROR(INDEX('AI Inventory'!$B$3:$B$200,MATCH(B16,'AI Inventory'!$A$3:$A$200,0)),"")</f>
        <v>Personalisation and promotions engine</v>
      </c>
      <c r="D16" s="27" t="s">
        <v>181</v>
      </c>
      <c r="E16" s="27" t="s">
        <v>281</v>
      </c>
      <c r="F16" s="27" t="s">
        <v>418</v>
      </c>
      <c r="G16" s="27" t="s">
        <v>419</v>
      </c>
      <c r="H16" s="27" t="s">
        <v>420</v>
      </c>
      <c r="I16" s="27" t="s">
        <v>321</v>
      </c>
      <c r="J16" s="27" t="s">
        <v>421</v>
      </c>
      <c r="K16" s="27" t="n">
        <v>3</v>
      </c>
      <c r="L16" s="27" t="n">
        <v>3</v>
      </c>
      <c r="M16" s="27" t="n">
        <v>3</v>
      </c>
      <c r="N16" s="27" t="s">
        <v>422</v>
      </c>
      <c r="O16" s="27" t="s">
        <v>270</v>
      </c>
      <c r="P16" s="27" t="s">
        <v>242</v>
      </c>
      <c r="Q16" s="27" t="s">
        <v>271</v>
      </c>
      <c r="R16" s="27" t="s">
        <v>423</v>
      </c>
      <c r="S16" s="27" t="s">
        <v>243</v>
      </c>
      <c r="T16" s="27" t="s">
        <v>289</v>
      </c>
      <c r="U16" s="27" t="s">
        <v>424</v>
      </c>
      <c r="V16" s="27" t="s">
        <v>425</v>
      </c>
      <c r="W16" s="27" t="s">
        <v>243</v>
      </c>
      <c r="X16" s="27" t="s">
        <v>426</v>
      </c>
      <c r="Y16" s="27" t="s">
        <v>278</v>
      </c>
      <c r="Z16" s="27" t="s">
        <v>279</v>
      </c>
      <c r="AA16" s="32" t="n">
        <f aca="false">K16*M16</f>
        <v>9</v>
      </c>
      <c r="AB16" s="33" t="str">
        <f aca="false">IF(AA16&gt;=12,"Critical",IF(AA16&gt;=8,"High",IF(AA16&gt;=4,"Medium","Low")))</f>
        <v>High</v>
      </c>
      <c r="AC16" s="32" t="n">
        <f aca="false">L16*M16</f>
        <v>9</v>
      </c>
      <c r="AD16" s="33" t="str">
        <f aca="false">IF(AC16&gt;=12,"Critical",IF(AC16&gt;=8,"High",IF(AC16&gt;=4,"Medium","Low")))</f>
        <v>High</v>
      </c>
    </row>
    <row r="17" customFormat="false" ht="33.75" hidden="false" customHeight="true" outlineLevel="0" collapsed="false">
      <c r="A17" s="25" t="s">
        <v>427</v>
      </c>
      <c r="B17" s="25" t="s">
        <v>230</v>
      </c>
      <c r="C17" s="25" t="str">
        <f aca="false">IFERROR(INDEX('AI Inventory'!$B$3:$B$200,MATCH(B17,'AI Inventory'!$A$3:$A$200,0)),"")</f>
        <v>Personalisation and promotions engine</v>
      </c>
      <c r="D17" s="25" t="s">
        <v>181</v>
      </c>
      <c r="E17" s="25" t="s">
        <v>182</v>
      </c>
      <c r="F17" s="25" t="s">
        <v>428</v>
      </c>
      <c r="G17" s="25" t="s">
        <v>429</v>
      </c>
      <c r="H17" s="25" t="s">
        <v>430</v>
      </c>
      <c r="I17" s="25" t="s">
        <v>297</v>
      </c>
      <c r="J17" s="25" t="s">
        <v>344</v>
      </c>
      <c r="K17" s="25" t="n">
        <v>2</v>
      </c>
      <c r="L17" s="25" t="n">
        <v>3</v>
      </c>
      <c r="M17" s="25" t="n">
        <v>3</v>
      </c>
      <c r="N17" s="25" t="s">
        <v>431</v>
      </c>
      <c r="O17" s="25" t="s">
        <v>270</v>
      </c>
      <c r="P17" s="25" t="s">
        <v>242</v>
      </c>
      <c r="Q17" s="25" t="s">
        <v>271</v>
      </c>
      <c r="R17" s="25" t="s">
        <v>432</v>
      </c>
      <c r="S17" s="25" t="s">
        <v>243</v>
      </c>
      <c r="T17" s="25" t="s">
        <v>273</v>
      </c>
      <c r="U17" s="25" t="s">
        <v>433</v>
      </c>
      <c r="V17" s="25" t="s">
        <v>434</v>
      </c>
      <c r="W17" s="25" t="s">
        <v>182</v>
      </c>
      <c r="X17" s="25" t="s">
        <v>435</v>
      </c>
      <c r="Y17" s="25" t="s">
        <v>278</v>
      </c>
      <c r="Z17" s="25" t="s">
        <v>279</v>
      </c>
      <c r="AA17" s="30" t="n">
        <f aca="false">K17*M17</f>
        <v>6</v>
      </c>
      <c r="AB17" s="31" t="str">
        <f aca="false">IF(AA17&gt;=12,"Critical",IF(AA17&gt;=8,"High",IF(AA17&gt;=4,"Medium","Low")))</f>
        <v>Medium</v>
      </c>
      <c r="AC17" s="30" t="n">
        <f aca="false">L17*M17</f>
        <v>9</v>
      </c>
      <c r="AD17" s="31" t="str">
        <f aca="false">IF(AC17&gt;=12,"Critical",IF(AC17&gt;=8,"High",IF(AC17&gt;=4,"Medium","Low")))</f>
        <v>High</v>
      </c>
    </row>
    <row r="18" customFormat="false" ht="33.75" hidden="false" customHeight="true" outlineLevel="0" collapsed="false">
      <c r="A18" s="27" t="s">
        <v>436</v>
      </c>
      <c r="B18" s="27" t="s">
        <v>230</v>
      </c>
      <c r="C18" s="27" t="str">
        <f aca="false">IFERROR(INDEX('AI Inventory'!$B$3:$B$200,MATCH(B18,'AI Inventory'!$A$3:$A$200,0)),"")</f>
        <v>Personalisation and promotions engine</v>
      </c>
      <c r="D18" s="27" t="s">
        <v>181</v>
      </c>
      <c r="E18" s="27" t="s">
        <v>182</v>
      </c>
      <c r="F18" s="27" t="s">
        <v>437</v>
      </c>
      <c r="G18" s="27" t="s">
        <v>438</v>
      </c>
      <c r="H18" s="27" t="s">
        <v>439</v>
      </c>
      <c r="I18" s="27" t="s">
        <v>297</v>
      </c>
      <c r="J18" s="27" t="s">
        <v>440</v>
      </c>
      <c r="K18" s="27" t="n">
        <v>2</v>
      </c>
      <c r="L18" s="27" t="n">
        <v>4</v>
      </c>
      <c r="M18" s="27" t="n">
        <v>2</v>
      </c>
      <c r="N18" s="27" t="s">
        <v>441</v>
      </c>
      <c r="O18" s="27" t="s">
        <v>359</v>
      </c>
      <c r="P18" s="27" t="s">
        <v>242</v>
      </c>
      <c r="Q18" s="27" t="s">
        <v>271</v>
      </c>
      <c r="R18" s="27" t="s">
        <v>442</v>
      </c>
      <c r="S18" s="27" t="s">
        <v>243</v>
      </c>
      <c r="T18" s="27" t="s">
        <v>181</v>
      </c>
      <c r="U18" s="27" t="s">
        <v>443</v>
      </c>
      <c r="V18" s="27" t="s">
        <v>444</v>
      </c>
      <c r="W18" s="27" t="s">
        <v>182</v>
      </c>
      <c r="X18" s="27" t="s">
        <v>445</v>
      </c>
      <c r="Y18" s="27" t="s">
        <v>305</v>
      </c>
      <c r="Z18" s="27" t="s">
        <v>396</v>
      </c>
      <c r="AA18" s="32" t="n">
        <f aca="false">K18*M18</f>
        <v>4</v>
      </c>
      <c r="AB18" s="33" t="str">
        <f aca="false">IF(AA18&gt;=12,"Critical",IF(AA18&gt;=8,"High",IF(AA18&gt;=4,"Medium","Low")))</f>
        <v>Medium</v>
      </c>
      <c r="AC18" s="32" t="n">
        <f aca="false">L18*M18</f>
        <v>8</v>
      </c>
      <c r="AD18" s="33" t="str">
        <f aca="false">IF(AC18&gt;=12,"Critical",IF(AC18&gt;=8,"High",IF(AC18&gt;=4,"Medium","Low")))</f>
        <v>High</v>
      </c>
    </row>
    <row r="19" customFormat="false" ht="33.75" hidden="false" customHeight="true" outlineLevel="0" collapsed="false">
      <c r="A19" s="25" t="s">
        <v>446</v>
      </c>
      <c r="B19" s="25" t="s">
        <v>245</v>
      </c>
      <c r="C19" s="25" t="str">
        <f aca="false">IFERROR(INDEX('AI Inventory'!$B$3:$B$200,MATCH(B19,'AI Inventory'!$A$3:$A$200,0)),"")</f>
        <v>Shift optimiser</v>
      </c>
      <c r="D19" s="25" t="s">
        <v>181</v>
      </c>
      <c r="E19" s="25" t="s">
        <v>258</v>
      </c>
      <c r="F19" s="25" t="s">
        <v>447</v>
      </c>
      <c r="G19" s="25" t="s">
        <v>448</v>
      </c>
      <c r="H19" s="25" t="s">
        <v>449</v>
      </c>
      <c r="I19" s="25" t="s">
        <v>321</v>
      </c>
      <c r="J19" s="25" t="s">
        <v>450</v>
      </c>
      <c r="K19" s="25" t="n">
        <v>4</v>
      </c>
      <c r="L19" s="25" t="n">
        <v>3</v>
      </c>
      <c r="M19" s="25" t="n">
        <v>3</v>
      </c>
      <c r="N19" s="25" t="s">
        <v>451</v>
      </c>
      <c r="O19" s="25" t="s">
        <v>270</v>
      </c>
      <c r="P19" s="25" t="s">
        <v>258</v>
      </c>
      <c r="Q19" s="25" t="s">
        <v>271</v>
      </c>
      <c r="R19" s="25" t="s">
        <v>452</v>
      </c>
      <c r="S19" s="25" t="s">
        <v>259</v>
      </c>
      <c r="T19" s="25" t="s">
        <v>301</v>
      </c>
      <c r="U19" s="25" t="s">
        <v>453</v>
      </c>
      <c r="V19" s="25" t="s">
        <v>454</v>
      </c>
      <c r="W19" s="25" t="s">
        <v>259</v>
      </c>
      <c r="X19" s="25" t="s">
        <v>455</v>
      </c>
      <c r="Y19" s="25" t="s">
        <v>278</v>
      </c>
      <c r="Z19" s="25" t="s">
        <v>279</v>
      </c>
      <c r="AA19" s="30" t="n">
        <f aca="false">K19*M19</f>
        <v>12</v>
      </c>
      <c r="AB19" s="31" t="str">
        <f aca="false">IF(AA19&gt;=12,"Critical",IF(AA19&gt;=8,"High",IF(AA19&gt;=4,"Medium","Low")))</f>
        <v>Critical</v>
      </c>
      <c r="AC19" s="30" t="n">
        <f aca="false">L19*M19</f>
        <v>9</v>
      </c>
      <c r="AD19" s="31" t="str">
        <f aca="false">IF(AC19&gt;=12,"Critical",IF(AC19&gt;=8,"High",IF(AC19&gt;=4,"Medium","Low")))</f>
        <v>High</v>
      </c>
    </row>
    <row r="20" customFormat="false" ht="33.75" hidden="false" customHeight="true" outlineLevel="0" collapsed="false">
      <c r="A20" s="27" t="s">
        <v>456</v>
      </c>
      <c r="B20" s="27" t="s">
        <v>245</v>
      </c>
      <c r="C20" s="27" t="str">
        <f aca="false">IFERROR(INDEX('AI Inventory'!$B$3:$B$200,MATCH(B20,'AI Inventory'!$A$3:$A$200,0)),"")</f>
        <v>Shift optimiser</v>
      </c>
      <c r="D20" s="27" t="s">
        <v>181</v>
      </c>
      <c r="E20" s="27" t="s">
        <v>182</v>
      </c>
      <c r="F20" s="27" t="s">
        <v>457</v>
      </c>
      <c r="G20" s="27" t="s">
        <v>458</v>
      </c>
      <c r="H20" s="27" t="s">
        <v>459</v>
      </c>
      <c r="I20" s="27" t="s">
        <v>267</v>
      </c>
      <c r="J20" s="27" t="s">
        <v>460</v>
      </c>
      <c r="K20" s="27" t="n">
        <v>3</v>
      </c>
      <c r="L20" s="27" t="n">
        <v>3</v>
      </c>
      <c r="M20" s="27" t="n">
        <v>4</v>
      </c>
      <c r="N20" s="27" t="s">
        <v>461</v>
      </c>
      <c r="O20" s="27" t="s">
        <v>270</v>
      </c>
      <c r="P20" s="27" t="s">
        <v>258</v>
      </c>
      <c r="Q20" s="27" t="s">
        <v>271</v>
      </c>
      <c r="R20" s="27" t="s">
        <v>462</v>
      </c>
      <c r="S20" s="27" t="s">
        <v>259</v>
      </c>
      <c r="T20" s="27" t="s">
        <v>347</v>
      </c>
      <c r="U20" s="27" t="s">
        <v>463</v>
      </c>
      <c r="V20" s="27" t="s">
        <v>464</v>
      </c>
      <c r="W20" s="27" t="s">
        <v>182</v>
      </c>
      <c r="X20" s="27" t="s">
        <v>465</v>
      </c>
      <c r="Y20" s="27" t="s">
        <v>305</v>
      </c>
      <c r="Z20" s="27" t="s">
        <v>279</v>
      </c>
      <c r="AA20" s="32" t="n">
        <f aca="false">K20*M20</f>
        <v>12</v>
      </c>
      <c r="AB20" s="33" t="str">
        <f aca="false">IF(AA20&gt;=12,"Critical",IF(AA20&gt;=8,"High",IF(AA20&gt;=4,"Medium","Low")))</f>
        <v>Critical</v>
      </c>
      <c r="AC20" s="32" t="n">
        <f aca="false">L20*M20</f>
        <v>12</v>
      </c>
      <c r="AD20" s="33" t="str">
        <f aca="false">IF(AC20&gt;=12,"Critical",IF(AC20&gt;=8,"High",IF(AC20&gt;=4,"Medium","Low")))</f>
        <v>Critical</v>
      </c>
    </row>
    <row r="21" customFormat="false" ht="33.75" hidden="false" customHeight="true" outlineLevel="0" collapsed="false">
      <c r="A21" s="25" t="s">
        <v>466</v>
      </c>
      <c r="B21" s="25" t="s">
        <v>245</v>
      </c>
      <c r="C21" s="25" t="str">
        <f aca="false">IFERROR(INDEX('AI Inventory'!$B$3:$B$200,MATCH(B21,'AI Inventory'!$A$3:$A$200,0)),"")</f>
        <v>Shift optimiser</v>
      </c>
      <c r="D21" s="25" t="s">
        <v>181</v>
      </c>
      <c r="E21" s="25" t="s">
        <v>281</v>
      </c>
      <c r="F21" s="25" t="s">
        <v>467</v>
      </c>
      <c r="G21" s="25" t="s">
        <v>468</v>
      </c>
      <c r="H21" s="25" t="s">
        <v>469</v>
      </c>
      <c r="I21" s="25" t="s">
        <v>285</v>
      </c>
      <c r="J21" s="25" t="s">
        <v>344</v>
      </c>
      <c r="K21" s="25" t="n">
        <v>3</v>
      </c>
      <c r="L21" s="25" t="n">
        <v>3</v>
      </c>
      <c r="M21" s="25" t="n">
        <v>3</v>
      </c>
      <c r="N21" s="25" t="s">
        <v>470</v>
      </c>
      <c r="O21" s="25" t="s">
        <v>270</v>
      </c>
      <c r="P21" s="25" t="s">
        <v>258</v>
      </c>
      <c r="Q21" s="25" t="s">
        <v>271</v>
      </c>
      <c r="R21" s="25" t="s">
        <v>471</v>
      </c>
      <c r="S21" s="25" t="s">
        <v>259</v>
      </c>
      <c r="T21" s="25" t="s">
        <v>273</v>
      </c>
      <c r="U21" s="25" t="s">
        <v>472</v>
      </c>
      <c r="V21" s="25" t="s">
        <v>473</v>
      </c>
      <c r="W21" s="25" t="s">
        <v>281</v>
      </c>
      <c r="X21" s="25" t="s">
        <v>474</v>
      </c>
      <c r="Y21" s="25" t="s">
        <v>278</v>
      </c>
      <c r="Z21" s="25" t="s">
        <v>279</v>
      </c>
      <c r="AA21" s="30" t="n">
        <f aca="false">K21*M21</f>
        <v>9</v>
      </c>
      <c r="AB21" s="31" t="str">
        <f aca="false">IF(AA21&gt;=12,"Critical",IF(AA21&gt;=8,"High",IF(AA21&gt;=4,"Medium","Low")))</f>
        <v>High</v>
      </c>
      <c r="AC21" s="30" t="n">
        <f aca="false">L21*M21</f>
        <v>9</v>
      </c>
      <c r="AD21" s="31" t="str">
        <f aca="false">IF(AC21&gt;=12,"Critical",IF(AC21&gt;=8,"High",IF(AC21&gt;=4,"Medium","Low")))</f>
        <v>High</v>
      </c>
    </row>
    <row r="22" customFormat="false" ht="33.75" hidden="false" customHeight="true" outlineLevel="0" collapsed="false">
      <c r="A22" s="27" t="s">
        <v>475</v>
      </c>
      <c r="B22" s="27" t="s">
        <v>158</v>
      </c>
      <c r="C22" s="27" t="str">
        <f aca="false">IFERROR(INDEX('AI Inventory'!$B$3:$B$200,MATCH(B22,'AI Inventory'!$A$3:$A$200,0)),"")</f>
        <v>Customer service assistant</v>
      </c>
      <c r="D22" s="27" t="s">
        <v>181</v>
      </c>
      <c r="E22" s="27" t="s">
        <v>182</v>
      </c>
      <c r="F22" s="27" t="s">
        <v>476</v>
      </c>
      <c r="G22" s="27" t="s">
        <v>477</v>
      </c>
      <c r="H22" s="27" t="s">
        <v>478</v>
      </c>
      <c r="I22" s="27" t="s">
        <v>267</v>
      </c>
      <c r="J22" s="27" t="s">
        <v>479</v>
      </c>
      <c r="K22" s="27" t="n">
        <v>2</v>
      </c>
      <c r="L22" s="27" t="n">
        <v>2</v>
      </c>
      <c r="M22" s="27" t="n">
        <v>2</v>
      </c>
      <c r="N22" s="27" t="s">
        <v>480</v>
      </c>
      <c r="O22" s="27" t="s">
        <v>270</v>
      </c>
      <c r="P22" s="27" t="s">
        <v>178</v>
      </c>
      <c r="Q22" s="27" t="s">
        <v>271</v>
      </c>
      <c r="R22" s="27" t="s">
        <v>481</v>
      </c>
      <c r="S22" s="27" t="s">
        <v>179</v>
      </c>
      <c r="T22" s="27" t="s">
        <v>301</v>
      </c>
      <c r="U22" s="27" t="s">
        <v>482</v>
      </c>
      <c r="V22" s="27" t="s">
        <v>362</v>
      </c>
      <c r="W22" s="27" t="s">
        <v>182</v>
      </c>
      <c r="X22" s="27" t="s">
        <v>483</v>
      </c>
      <c r="Y22" s="27" t="s">
        <v>305</v>
      </c>
      <c r="Z22" s="27" t="s">
        <v>279</v>
      </c>
      <c r="AA22" s="32" t="n">
        <f aca="false">K22*M22</f>
        <v>4</v>
      </c>
      <c r="AB22" s="33" t="str">
        <f aca="false">IF(AA22&gt;=12,"Critical",IF(AA22&gt;=8,"High",IF(AA22&gt;=4,"Medium","Low")))</f>
        <v>Medium</v>
      </c>
      <c r="AC22" s="32" t="n">
        <f aca="false">L22*M22</f>
        <v>4</v>
      </c>
      <c r="AD22" s="33" t="str">
        <f aca="false">IF(AC22&gt;=12,"Critical",IF(AC22&gt;=8,"High",IF(AC22&gt;=4,"Medium","Low")))</f>
        <v>Medium</v>
      </c>
    </row>
    <row r="23" customFormat="false" ht="33.75" hidden="false" customHeight="true" outlineLevel="0" collapsed="false">
      <c r="A23" s="25" t="s">
        <v>484</v>
      </c>
      <c r="B23" s="25" t="s">
        <v>230</v>
      </c>
      <c r="C23" s="25" t="str">
        <f aca="false">IFERROR(INDEX('AI Inventory'!$B$3:$B$200,MATCH(B23,'AI Inventory'!$A$3:$A$200,0)),"")</f>
        <v>Personalisation and promotions engine</v>
      </c>
      <c r="D23" s="25" t="s">
        <v>181</v>
      </c>
      <c r="E23" s="25" t="s">
        <v>182</v>
      </c>
      <c r="F23" s="25" t="s">
        <v>485</v>
      </c>
      <c r="G23" s="25" t="s">
        <v>486</v>
      </c>
      <c r="H23" s="25" t="s">
        <v>487</v>
      </c>
      <c r="I23" s="25" t="s">
        <v>321</v>
      </c>
      <c r="J23" s="25" t="s">
        <v>488</v>
      </c>
      <c r="K23" s="25" t="n">
        <v>3</v>
      </c>
      <c r="L23" s="25" t="n">
        <v>3</v>
      </c>
      <c r="M23" s="25" t="n">
        <v>2</v>
      </c>
      <c r="N23" s="25" t="s">
        <v>489</v>
      </c>
      <c r="O23" s="25" t="s">
        <v>270</v>
      </c>
      <c r="P23" s="25" t="s">
        <v>242</v>
      </c>
      <c r="Q23" s="25" t="s">
        <v>271</v>
      </c>
      <c r="R23" s="25" t="s">
        <v>490</v>
      </c>
      <c r="S23" s="25" t="s">
        <v>243</v>
      </c>
      <c r="T23" s="25" t="s">
        <v>289</v>
      </c>
      <c r="U23" s="25" t="s">
        <v>491</v>
      </c>
      <c r="V23" s="25" t="s">
        <v>362</v>
      </c>
      <c r="W23" s="25" t="s">
        <v>182</v>
      </c>
      <c r="X23" s="25" t="s">
        <v>363</v>
      </c>
      <c r="Y23" s="25" t="s">
        <v>305</v>
      </c>
      <c r="Z23" s="25" t="s">
        <v>279</v>
      </c>
      <c r="AA23" s="30" t="n">
        <f aca="false">K23*M23</f>
        <v>6</v>
      </c>
      <c r="AB23" s="31" t="str">
        <f aca="false">IF(AA23&gt;=12,"Critical",IF(AA23&gt;=8,"High",IF(AA23&gt;=4,"Medium","Low")))</f>
        <v>Medium</v>
      </c>
      <c r="AC23" s="30" t="n">
        <f aca="false">L23*M23</f>
        <v>6</v>
      </c>
      <c r="AD23" s="31" t="str">
        <f aca="false">IF(AC23&gt;=12,"Critical",IF(AC23&gt;=8,"High",IF(AC23&gt;=4,"Medium","Low")))</f>
        <v>Medium</v>
      </c>
    </row>
    <row r="24" customFormat="false" ht="33.75" hidden="false" customHeight="true" outlineLevel="0" collapsed="false">
      <c r="A24" s="27" t="s">
        <v>492</v>
      </c>
      <c r="B24" s="27" t="s">
        <v>245</v>
      </c>
      <c r="C24" s="27" t="str">
        <f aca="false">IFERROR(INDEX('AI Inventory'!$B$3:$B$200,MATCH(B24,'AI Inventory'!$A$3:$A$200,0)),"")</f>
        <v>Shift optimiser</v>
      </c>
      <c r="D24" s="27" t="s">
        <v>181</v>
      </c>
      <c r="E24" s="27" t="s">
        <v>182</v>
      </c>
      <c r="F24" s="27" t="s">
        <v>493</v>
      </c>
      <c r="G24" s="27" t="s">
        <v>494</v>
      </c>
      <c r="H24" s="27" t="s">
        <v>495</v>
      </c>
      <c r="I24" s="27" t="s">
        <v>321</v>
      </c>
      <c r="J24" s="27" t="s">
        <v>496</v>
      </c>
      <c r="K24" s="27" t="n">
        <v>3</v>
      </c>
      <c r="L24" s="27" t="n">
        <v>3</v>
      </c>
      <c r="M24" s="27" t="n">
        <v>3</v>
      </c>
      <c r="N24" s="27" t="s">
        <v>497</v>
      </c>
      <c r="O24" s="27" t="s">
        <v>270</v>
      </c>
      <c r="P24" s="27" t="s">
        <v>258</v>
      </c>
      <c r="Q24" s="27" t="s">
        <v>271</v>
      </c>
      <c r="R24" s="27" t="s">
        <v>498</v>
      </c>
      <c r="S24" s="27" t="s">
        <v>259</v>
      </c>
      <c r="T24" s="27" t="s">
        <v>499</v>
      </c>
      <c r="U24" s="27" t="s">
        <v>500</v>
      </c>
      <c r="V24" s="27" t="s">
        <v>362</v>
      </c>
      <c r="W24" s="27" t="s">
        <v>182</v>
      </c>
      <c r="X24" s="27" t="s">
        <v>501</v>
      </c>
      <c r="Y24" s="27" t="s">
        <v>305</v>
      </c>
      <c r="Z24" s="27" t="s">
        <v>351</v>
      </c>
      <c r="AA24" s="32" t="n">
        <f aca="false">K24*M24</f>
        <v>9</v>
      </c>
      <c r="AB24" s="33" t="str">
        <f aca="false">IF(AA24&gt;=12,"Critical",IF(AA24&gt;=8,"High",IF(AA24&gt;=4,"Medium","Low")))</f>
        <v>High</v>
      </c>
      <c r="AC24" s="32" t="n">
        <f aca="false">L24*M24</f>
        <v>9</v>
      </c>
      <c r="AD24" s="33" t="str">
        <f aca="false">IF(AC24&gt;=12,"Critical",IF(AC24&gt;=8,"High",IF(AC24&gt;=4,"Medium","Low")))</f>
        <v>High</v>
      </c>
    </row>
    <row r="25" customFormat="false" ht="33.75" hidden="false" customHeight="true" outlineLevel="0" collapsed="false">
      <c r="A25" s="25" t="s">
        <v>502</v>
      </c>
      <c r="B25" s="25" t="s">
        <v>158</v>
      </c>
      <c r="C25" s="25" t="str">
        <f aca="false">IFERROR(INDEX('AI Inventory'!$B$3:$B$200,MATCH(B25,'AI Inventory'!$A$3:$A$200,0)),"")</f>
        <v>Customer service assistant</v>
      </c>
      <c r="D25" s="25" t="s">
        <v>503</v>
      </c>
      <c r="E25" s="25" t="s">
        <v>504</v>
      </c>
      <c r="F25" s="25" t="s">
        <v>505</v>
      </c>
      <c r="G25" s="25" t="s">
        <v>506</v>
      </c>
      <c r="H25" s="25" t="s">
        <v>507</v>
      </c>
      <c r="I25" s="25" t="s">
        <v>285</v>
      </c>
      <c r="J25" s="25" t="s">
        <v>508</v>
      </c>
      <c r="K25" s="25" t="n">
        <v>3</v>
      </c>
      <c r="L25" s="25" t="n">
        <v>3</v>
      </c>
      <c r="M25" s="25" t="n">
        <v>2</v>
      </c>
      <c r="N25" s="25" t="s">
        <v>509</v>
      </c>
      <c r="O25" s="25" t="s">
        <v>270</v>
      </c>
      <c r="P25" s="25" t="s">
        <v>178</v>
      </c>
      <c r="Q25" s="25" t="s">
        <v>503</v>
      </c>
      <c r="R25" s="25" t="s">
        <v>510</v>
      </c>
      <c r="S25" s="25" t="s">
        <v>179</v>
      </c>
      <c r="T25" s="25" t="s">
        <v>289</v>
      </c>
      <c r="U25" s="25" t="s">
        <v>511</v>
      </c>
      <c r="V25" s="25" t="s">
        <v>512</v>
      </c>
      <c r="W25" s="25" t="s">
        <v>504</v>
      </c>
      <c r="X25" s="25" t="s">
        <v>513</v>
      </c>
      <c r="Y25" s="25" t="s">
        <v>278</v>
      </c>
      <c r="Z25" s="25" t="s">
        <v>279</v>
      </c>
      <c r="AA25" s="30" t="n">
        <f aca="false">K25*M25</f>
        <v>6</v>
      </c>
      <c r="AB25" s="31" t="str">
        <f aca="false">IF(AA25&gt;=12,"Critical",IF(AA25&gt;=8,"High",IF(AA25&gt;=4,"Medium","Low")))</f>
        <v>Medium</v>
      </c>
      <c r="AC25" s="30" t="n">
        <f aca="false">L25*M25</f>
        <v>6</v>
      </c>
      <c r="AD25" s="31" t="str">
        <f aca="false">IF(AC25&gt;=12,"Critical",IF(AC25&gt;=8,"High",IF(AC25&gt;=4,"Medium","Low")))</f>
        <v>Medium</v>
      </c>
    </row>
    <row r="26" customFormat="false" ht="33.75" hidden="false" customHeight="true" outlineLevel="0" collapsed="false">
      <c r="A26" s="27" t="s">
        <v>514</v>
      </c>
      <c r="B26" s="27" t="s">
        <v>202</v>
      </c>
      <c r="C26" s="27" t="str">
        <f aca="false">IFERROR(INDEX('AI Inventory'!$B$3:$B$200,MATCH(B26,'AI Inventory'!$A$3:$A$200,0)),"")</f>
        <v>Payment fraud detection</v>
      </c>
      <c r="D26" s="27" t="s">
        <v>503</v>
      </c>
      <c r="E26" s="27" t="s">
        <v>504</v>
      </c>
      <c r="F26" s="27" t="s">
        <v>515</v>
      </c>
      <c r="G26" s="27" t="s">
        <v>516</v>
      </c>
      <c r="H26" s="27" t="s">
        <v>517</v>
      </c>
      <c r="I26" s="27" t="s">
        <v>267</v>
      </c>
      <c r="J26" s="27" t="s">
        <v>518</v>
      </c>
      <c r="K26" s="27" t="n">
        <v>2</v>
      </c>
      <c r="L26" s="27" t="n">
        <v>3</v>
      </c>
      <c r="M26" s="27" t="n">
        <v>3</v>
      </c>
      <c r="N26" s="27" t="s">
        <v>519</v>
      </c>
      <c r="O26" s="27" t="s">
        <v>270</v>
      </c>
      <c r="P26" s="27" t="s">
        <v>218</v>
      </c>
      <c r="Q26" s="27" t="s">
        <v>503</v>
      </c>
      <c r="R26" s="27" t="s">
        <v>520</v>
      </c>
      <c r="S26" s="27" t="s">
        <v>521</v>
      </c>
      <c r="T26" s="27" t="s">
        <v>313</v>
      </c>
      <c r="U26" s="27" t="s">
        <v>522</v>
      </c>
      <c r="V26" s="27" t="s">
        <v>523</v>
      </c>
      <c r="W26" s="27" t="s">
        <v>218</v>
      </c>
      <c r="X26" s="27" t="s">
        <v>524</v>
      </c>
      <c r="Y26" s="27" t="s">
        <v>278</v>
      </c>
      <c r="Z26" s="27" t="s">
        <v>279</v>
      </c>
      <c r="AA26" s="32" t="n">
        <f aca="false">K26*M26</f>
        <v>6</v>
      </c>
      <c r="AB26" s="33" t="str">
        <f aca="false">IF(AA26&gt;=12,"Critical",IF(AA26&gt;=8,"High",IF(AA26&gt;=4,"Medium","Low")))</f>
        <v>Medium</v>
      </c>
      <c r="AC26" s="32" t="n">
        <f aca="false">L26*M26</f>
        <v>9</v>
      </c>
      <c r="AD26" s="33" t="str">
        <f aca="false">IF(AC26&gt;=12,"Critical",IF(AC26&gt;=8,"High",IF(AC26&gt;=4,"Medium","Low")))</f>
        <v>High</v>
      </c>
    </row>
    <row r="28" customFormat="false" ht="15" hidden="false" customHeight="false" outlineLevel="0" collapsed="false">
      <c r="A28" s="2" t="s">
        <v>525</v>
      </c>
    </row>
  </sheetData>
  <mergeCells count="1">
    <mergeCell ref="B1:AD1"/>
  </mergeCells>
  <conditionalFormatting sqref="AB3:AB26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AD3:AD26">
    <cfRule type="cellIs" priority="6" operator="equal" aboveAverage="0" equalAverage="0" bottom="0" percent="0" rank="0" text="" dxfId="0">
      <formula>"Critical"</formula>
    </cfRule>
    <cfRule type="cellIs" priority="7" operator="equal" aboveAverage="0" equalAverage="0" bottom="0" percent="0" rank="0" text="" dxfId="1">
      <formula>"High"</formula>
    </cfRule>
    <cfRule type="cellIs" priority="8" operator="equal" aboveAverage="0" equalAverage="0" bottom="0" percent="0" rank="0" text="" dxfId="2">
      <formula>"Medium"</formula>
    </cfRule>
    <cfRule type="cellIs" priority="9" operator="equal" aboveAverage="0" equalAverage="0" bottom="0" percent="0" rank="0" text="" dxfId="3">
      <formula>"Low"</formula>
    </cfRule>
  </conditionalFormatting>
  <dataValidations count="4">
    <dataValidation allowBlank="true" errorStyle="stop" operator="between" showDropDown="false" showErrorMessage="false" showInputMessage="false" sqref="O3:O200" type="list">
      <formula1>"mitigate,accept,transfer,avoid"</formula1>
      <formula2>0</formula2>
    </dataValidation>
    <dataValidation allowBlank="true" errorStyle="stop" operator="between" showDropDown="false" showErrorMessage="false" showInputMessage="false" sqref="Z3:Z200" type="list">
      <formula1>"open,mitigating,accepted,closed"</formula1>
      <formula2>0</formula2>
    </dataValidation>
    <dataValidation allowBlank="true" error="Enter a whole number 1-4." errorStyle="stop" errorTitle="Out of range" operator="between" showDropDown="false" showErrorMessage="false" showInputMessage="false" sqref="K3:M200" type="whole">
      <formula1>1</formula1>
      <formula2>4</formula2>
    </dataValidation>
    <dataValidation allowBlank="true" errorStyle="stop" operator="between" showDropDown="false" showErrorMessage="false" showInputMessage="false" sqref="I3:I200" type="list">
      <formula1>"wrong decision,unfair decision,uncontestable decision,data,manipulation,safety,none"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2" min="11" style="0" width="16"/>
    <col collapsed="false" customWidth="true" hidden="false" outlineLevel="0" max="14" min="13" style="0" width="26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32"/>
    <col collapsed="false" customWidth="true" hidden="false" outlineLevel="0" max="19" min="18" style="0" width="12"/>
    <col collapsed="false" customWidth="true" hidden="false" outlineLevel="0" max="20" min="20" style="0" width="22"/>
    <col collapsed="false" customWidth="true" hidden="false" outlineLevel="0" max="21" min="21" style="0" width="18"/>
    <col collapsed="false" customWidth="true" hidden="false" outlineLevel="0" max="22" min="22" style="0" width="30"/>
    <col collapsed="false" customWidth="true" hidden="false" outlineLevel="0" max="23" min="23" style="0" width="20"/>
    <col collapsed="false" customWidth="true" hidden="false" outlineLevel="0" max="24" min="24" style="0" width="18"/>
    <col collapsed="false" customWidth="true" hidden="false" outlineLevel="0" max="26" min="25" style="0" width="12"/>
    <col collapsed="false" customWidth="true" hidden="false" outlineLevel="0" max="27" min="27" style="0" width="16"/>
  </cols>
  <sheetData>
    <row r="1" customFormat="false" ht="19.7" hidden="false" customHeight="false" outlineLevel="0" collapsed="false">
      <c r="A1" s="1" t="s">
        <v>526</v>
      </c>
      <c r="B1" s="24" t="s">
        <v>527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customFormat="false" ht="31.5" hidden="false" customHeight="true" outlineLevel="0" collapsed="false">
      <c r="A2" s="14" t="s">
        <v>23</v>
      </c>
      <c r="B2" s="14" t="s">
        <v>25</v>
      </c>
      <c r="C2" s="14" t="s">
        <v>27</v>
      </c>
      <c r="D2" s="14" t="s">
        <v>29</v>
      </c>
      <c r="E2" s="14" t="s">
        <v>31</v>
      </c>
      <c r="F2" s="14" t="s">
        <v>33</v>
      </c>
      <c r="G2" s="14" t="s">
        <v>35</v>
      </c>
      <c r="H2" s="14" t="s">
        <v>37</v>
      </c>
      <c r="I2" s="14" t="s">
        <v>39</v>
      </c>
      <c r="J2" s="14" t="s">
        <v>41</v>
      </c>
      <c r="K2" s="14" t="s">
        <v>43</v>
      </c>
      <c r="L2" s="14" t="s">
        <v>45</v>
      </c>
      <c r="M2" s="14" t="s">
        <v>47</v>
      </c>
      <c r="N2" s="14" t="s">
        <v>49</v>
      </c>
      <c r="O2" s="14" t="s">
        <v>51</v>
      </c>
      <c r="P2" s="14" t="s">
        <v>53</v>
      </c>
      <c r="Q2" s="14" t="s">
        <v>55</v>
      </c>
      <c r="R2" s="14" t="s">
        <v>57</v>
      </c>
      <c r="S2" s="14" t="s">
        <v>59</v>
      </c>
      <c r="T2" s="14" t="s">
        <v>61</v>
      </c>
      <c r="U2" s="14" t="s">
        <v>63</v>
      </c>
      <c r="V2" s="14" t="s">
        <v>65</v>
      </c>
      <c r="W2" s="14" t="s">
        <v>67</v>
      </c>
      <c r="X2" s="14" t="s">
        <v>69</v>
      </c>
      <c r="Y2" s="14" t="s">
        <v>71</v>
      </c>
      <c r="Z2" s="14" t="s">
        <v>73</v>
      </c>
      <c r="AA2" s="14" t="s">
        <v>75</v>
      </c>
    </row>
    <row r="3" customFormat="false" ht="33.75" hidden="false" customHeight="true" outlineLevel="0" collapsed="false">
      <c r="A3" s="34" t="s">
        <v>158</v>
      </c>
      <c r="B3" s="34" t="s">
        <v>528</v>
      </c>
      <c r="C3" s="34" t="s">
        <v>160</v>
      </c>
      <c r="D3" s="34" t="s">
        <v>529</v>
      </c>
      <c r="E3" s="34" t="s">
        <v>530</v>
      </c>
      <c r="F3" s="34" t="s">
        <v>163</v>
      </c>
      <c r="G3" s="34" t="s">
        <v>531</v>
      </c>
      <c r="H3" s="34" t="s">
        <v>532</v>
      </c>
      <c r="I3" s="34" t="s">
        <v>533</v>
      </c>
      <c r="J3" s="34" t="s">
        <v>534</v>
      </c>
      <c r="K3" s="34" t="s">
        <v>535</v>
      </c>
      <c r="L3" s="34" t="s">
        <v>535</v>
      </c>
      <c r="M3" s="34" t="s">
        <v>536</v>
      </c>
      <c r="N3" s="34" t="s">
        <v>537</v>
      </c>
      <c r="O3" s="34" t="s">
        <v>538</v>
      </c>
      <c r="P3" s="34" t="s">
        <v>194</v>
      </c>
      <c r="Q3" s="34" t="s">
        <v>539</v>
      </c>
      <c r="R3" s="34" t="s">
        <v>196</v>
      </c>
      <c r="S3" s="34" t="s">
        <v>174</v>
      </c>
      <c r="T3" s="34" t="s">
        <v>540</v>
      </c>
      <c r="U3" s="34" t="s">
        <v>541</v>
      </c>
      <c r="V3" s="34" t="s">
        <v>542</v>
      </c>
      <c r="W3" s="34" t="s">
        <v>543</v>
      </c>
      <c r="X3" s="34" t="s">
        <v>544</v>
      </c>
      <c r="Y3" s="34" t="s">
        <v>545</v>
      </c>
      <c r="Z3" s="34" t="s">
        <v>546</v>
      </c>
      <c r="AA3" s="34" t="s">
        <v>547</v>
      </c>
    </row>
    <row r="4" customFormat="false" ht="30" hidden="false" customHeight="true" outlineLevel="0" collapsed="false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customFormat="false" ht="30" hidden="false" customHeight="true" outlineLevel="0" collapsed="false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 customFormat="false" ht="30" hidden="false" customHeight="true" outlineLevel="0" collapsed="false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customFormat="false" ht="30" hidden="false" customHeight="true" outlineLevel="0" collapsed="false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customFormat="false" ht="30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customFormat="false" ht="30" hidden="false" customHeight="true" outlineLevel="0" collapsed="false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 customFormat="false" ht="30" hidden="false" customHeight="true" outlineLevel="0" collapsed="false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 customFormat="false" ht="30" hidden="false" customHeight="true" outlineLevel="0" collapsed="false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customFormat="false" ht="30" hidden="false" customHeight="true" outlineLevel="0" collapsed="false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customFormat="false" ht="30" hidden="false" customHeight="true" outlineLevel="0" collapsed="false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customFormat="false" ht="30" hidden="false" customHeight="true" outlineLevel="0" collapsed="false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customFormat="false" ht="30" hidden="false" customHeight="true" outlineLevel="0" collapsed="false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customFormat="false" ht="30" hidden="false" customHeight="true" outlineLevel="0" collapsed="false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 customFormat="false" ht="30" hidden="false" customHeight="true" outlineLevel="0" collapsed="false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 customFormat="false" ht="30" hidden="false" customHeight="true" outlineLevel="0" collapsed="false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 customFormat="false" ht="30" hidden="false" customHeight="true" outlineLevel="0" collapsed="false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</sheetData>
  <mergeCells count="1">
    <mergeCell ref="B1:AA1"/>
  </mergeCells>
  <dataValidations count="2">
    <dataValidation allowBlank="true" errorStyle="stop" operator="between" showDropDown="false" showErrorMessage="false" showInputMessage="false" sqref="F3:F200" type="list">
      <formula1>"provider,deployer,both"</formula1>
      <formula2>0</formula2>
    </dataValidation>
    <dataValidation allowBlank="true" errorStyle="stop" operator="between" showDropDown="false" showErrorMessage="false" showInputMessage="false" sqref="P3:P200" type="list">
      <formula1>"prohibited,high-risk,transparency,none"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28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3" min="11" style="0" width="10"/>
    <col collapsed="false" customWidth="true" hidden="false" outlineLevel="0" max="14" min="14" style="0" width="34"/>
    <col collapsed="false" customWidth="true" hidden="false" outlineLevel="0" max="15" min="15" style="0" width="10"/>
    <col collapsed="false" customWidth="true" hidden="false" outlineLevel="0" max="16" min="16" style="0" width="18"/>
    <col collapsed="false" customWidth="true" hidden="false" outlineLevel="0" max="17" min="17" style="0" width="11"/>
    <col collapsed="false" customWidth="true" hidden="false" outlineLevel="0" max="18" min="18" style="0" width="32"/>
    <col collapsed="false" customWidth="true" hidden="false" outlineLevel="0" max="19" min="19" style="0" width="16"/>
    <col collapsed="false" customWidth="true" hidden="false" outlineLevel="0" max="20" min="20" style="0" width="11"/>
    <col collapsed="false" customWidth="true" hidden="false" outlineLevel="0" max="21" min="21" style="0" width="26"/>
    <col collapsed="false" customWidth="true" hidden="false" outlineLevel="0" max="22" min="22" style="0" width="20"/>
    <col collapsed="false" customWidth="true" hidden="false" outlineLevel="0" max="23" min="23" style="0" width="18"/>
    <col collapsed="false" customWidth="true" hidden="false" outlineLevel="0" max="24" min="24" style="0" width="26"/>
    <col collapsed="false" customWidth="true" hidden="false" outlineLevel="0" max="26" min="25" style="0" width="11"/>
    <col collapsed="false" customWidth="true" hidden="false" outlineLevel="0" max="27" min="27" style="0" width="13"/>
    <col collapsed="false" customWidth="true" hidden="false" outlineLevel="0" max="28" min="28" style="0" width="12"/>
    <col collapsed="false" customWidth="true" hidden="false" outlineLevel="0" max="29" min="29" style="0" width="13"/>
    <col collapsed="false" customWidth="true" hidden="false" outlineLevel="0" max="30" min="30" style="0" width="12"/>
  </cols>
  <sheetData>
    <row r="1" customFormat="false" ht="19.7" hidden="false" customHeight="false" outlineLevel="0" collapsed="false">
      <c r="A1" s="1" t="s">
        <v>548</v>
      </c>
      <c r="B1" s="24" t="s">
        <v>549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customFormat="false" ht="31.5" hidden="false" customHeight="true" outlineLevel="0" collapsed="false">
      <c r="A2" s="14" t="s">
        <v>78</v>
      </c>
      <c r="B2" s="14" t="s">
        <v>23</v>
      </c>
      <c r="C2" s="14" t="s">
        <v>81</v>
      </c>
      <c r="D2" s="14" t="s">
        <v>83</v>
      </c>
      <c r="E2" s="14" t="s">
        <v>85</v>
      </c>
      <c r="F2" s="14" t="s">
        <v>87</v>
      </c>
      <c r="G2" s="14" t="s">
        <v>89</v>
      </c>
      <c r="H2" s="14" t="s">
        <v>91</v>
      </c>
      <c r="I2" s="14" t="s">
        <v>93</v>
      </c>
      <c r="J2" s="14" t="s">
        <v>95</v>
      </c>
      <c r="K2" s="14" t="s">
        <v>97</v>
      </c>
      <c r="L2" s="14" t="s">
        <v>99</v>
      </c>
      <c r="M2" s="14" t="s">
        <v>101</v>
      </c>
      <c r="N2" s="14" t="s">
        <v>103</v>
      </c>
      <c r="O2" s="14" t="s">
        <v>105</v>
      </c>
      <c r="P2" s="14" t="s">
        <v>107</v>
      </c>
      <c r="Q2" s="14" t="s">
        <v>109</v>
      </c>
      <c r="R2" s="14" t="s">
        <v>111</v>
      </c>
      <c r="S2" s="14" t="s">
        <v>113</v>
      </c>
      <c r="T2" s="14" t="s">
        <v>115</v>
      </c>
      <c r="U2" s="14" t="s">
        <v>117</v>
      </c>
      <c r="V2" s="14" t="s">
        <v>119</v>
      </c>
      <c r="W2" s="14" t="s">
        <v>121</v>
      </c>
      <c r="X2" s="14" t="s">
        <v>123</v>
      </c>
      <c r="Y2" s="14" t="s">
        <v>125</v>
      </c>
      <c r="Z2" s="14" t="s">
        <v>27</v>
      </c>
      <c r="AA2" s="14" t="s">
        <v>128</v>
      </c>
      <c r="AB2" s="14" t="s">
        <v>130</v>
      </c>
      <c r="AC2" s="14" t="s">
        <v>132</v>
      </c>
      <c r="AD2" s="14" t="s">
        <v>134</v>
      </c>
    </row>
    <row r="3" customFormat="false" ht="39.75" hidden="false" customHeight="true" outlineLevel="0" collapsed="false">
      <c r="A3" s="34" t="s">
        <v>263</v>
      </c>
      <c r="B3" s="34" t="s">
        <v>158</v>
      </c>
      <c r="C3" s="34" t="str">
        <f aca="false">IFERROR(INDEX('Inventory Template'!$B$3:$B$200,MATCH(B3,'Inventory Template'!$A$3:$A$200,0)),"")</f>
        <v>e.g. Candidate screening tool</v>
      </c>
      <c r="D3" s="34" t="s">
        <v>546</v>
      </c>
      <c r="E3" s="34" t="s">
        <v>547</v>
      </c>
      <c r="F3" s="34" t="s">
        <v>550</v>
      </c>
      <c r="G3" s="34" t="s">
        <v>551</v>
      </c>
      <c r="H3" s="34" t="s">
        <v>552</v>
      </c>
      <c r="I3" s="34" t="s">
        <v>321</v>
      </c>
      <c r="J3" s="34" t="s">
        <v>553</v>
      </c>
      <c r="K3" s="34" t="n">
        <v>3</v>
      </c>
      <c r="L3" s="34" t="n">
        <v>2</v>
      </c>
      <c r="M3" s="34" t="n">
        <v>2</v>
      </c>
      <c r="N3" s="34" t="s">
        <v>554</v>
      </c>
      <c r="O3" s="34" t="s">
        <v>270</v>
      </c>
      <c r="P3" s="34" t="s">
        <v>555</v>
      </c>
      <c r="Q3" s="34" t="s">
        <v>546</v>
      </c>
      <c r="R3" s="34" t="s">
        <v>556</v>
      </c>
      <c r="S3" s="34" t="s">
        <v>555</v>
      </c>
      <c r="T3" s="34" t="s">
        <v>546</v>
      </c>
      <c r="U3" s="34" t="s">
        <v>557</v>
      </c>
      <c r="V3" s="34" t="s">
        <v>558</v>
      </c>
      <c r="W3" s="34" t="s">
        <v>555</v>
      </c>
      <c r="X3" s="34" t="s">
        <v>559</v>
      </c>
      <c r="Y3" s="34" t="s">
        <v>546</v>
      </c>
      <c r="Z3" s="34" t="s">
        <v>351</v>
      </c>
      <c r="AA3" s="30" t="n">
        <f aca="false">IF(OR(K3="",M3=""),"",K3*M3)</f>
        <v>6</v>
      </c>
      <c r="AB3" s="31" t="str">
        <f aca="false">IF(AA3="","",IF(AA3&gt;=12,"Critical",IF(AA3&gt;=8,"High",IF(AA3&gt;=4,"Medium","Low"))))</f>
        <v>Medium</v>
      </c>
      <c r="AC3" s="30" t="n">
        <f aca="false">IF(OR(L3="",M3=""),"",L3*M3)</f>
        <v>4</v>
      </c>
      <c r="AD3" s="31" t="str">
        <f aca="false">IF(AC3="","",IF(AC3&gt;=12,"Critical",IF(AC3&gt;=8,"High",IF(AC3&gt;=4,"Medium","Low"))))</f>
        <v>Medium</v>
      </c>
    </row>
    <row r="4" customFormat="false" ht="30" hidden="false" customHeight="true" outlineLevel="0" collapsed="false">
      <c r="A4" s="35"/>
      <c r="B4" s="35"/>
      <c r="C4" s="35" t="str">
        <f aca="false">IFERROR(INDEX('Inventory Template'!$B$3:$B$200,MATCH(B4,'Inventory Template'!$A$3:$A$200,0)),"")</f>
        <v/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6" t="str">
        <f aca="false">IF(OR(K4="",M4=""),"",K4*M4)</f>
        <v/>
      </c>
      <c r="AB4" s="36" t="str">
        <f aca="false">IF(AA4="","",IF(AA4&gt;=12,"Critical",IF(AA4&gt;=8,"High",IF(AA4&gt;=4,"Medium","Low"))))</f>
        <v/>
      </c>
      <c r="AC4" s="36" t="str">
        <f aca="false">IF(OR(L4="",M4=""),"",L4*M4)</f>
        <v/>
      </c>
      <c r="AD4" s="36" t="str">
        <f aca="false">IF(AC4="","",IF(AC4&gt;=12,"Critical",IF(AC4&gt;=8,"High",IF(AC4&gt;=4,"Medium","Low"))))</f>
        <v/>
      </c>
    </row>
    <row r="5" customFormat="false" ht="30" hidden="false" customHeight="true" outlineLevel="0" collapsed="false">
      <c r="A5" s="35"/>
      <c r="B5" s="35"/>
      <c r="C5" s="35" t="str">
        <f aca="false">IFERROR(INDEX('Inventory Template'!$B$3:$B$200,MATCH(B5,'Inventory Template'!$A$3:$A$200,0)),"")</f>
        <v/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6" t="str">
        <f aca="false">IF(OR(K5="",M5=""),"",K5*M5)</f>
        <v/>
      </c>
      <c r="AB5" s="36" t="str">
        <f aca="false">IF(AA5="","",IF(AA5&gt;=12,"Critical",IF(AA5&gt;=8,"High",IF(AA5&gt;=4,"Medium","Low"))))</f>
        <v/>
      </c>
      <c r="AC5" s="36" t="str">
        <f aca="false">IF(OR(L5="",M5=""),"",L5*M5)</f>
        <v/>
      </c>
      <c r="AD5" s="36" t="str">
        <f aca="false">IF(AC5="","",IF(AC5&gt;=12,"Critical",IF(AC5&gt;=8,"High",IF(AC5&gt;=4,"Medium","Low"))))</f>
        <v/>
      </c>
    </row>
    <row r="6" customFormat="false" ht="30" hidden="false" customHeight="true" outlineLevel="0" collapsed="false">
      <c r="A6" s="35"/>
      <c r="B6" s="35"/>
      <c r="C6" s="35" t="str">
        <f aca="false">IFERROR(INDEX('Inventory Template'!$B$3:$B$200,MATCH(B6,'Inventory Template'!$A$3:$A$200,0)),"")</f>
        <v/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6" t="str">
        <f aca="false">IF(OR(K6="",M6=""),"",K6*M6)</f>
        <v/>
      </c>
      <c r="AB6" s="36" t="str">
        <f aca="false">IF(AA6="","",IF(AA6&gt;=12,"Critical",IF(AA6&gt;=8,"High",IF(AA6&gt;=4,"Medium","Low"))))</f>
        <v/>
      </c>
      <c r="AC6" s="36" t="str">
        <f aca="false">IF(OR(L6="",M6=""),"",L6*M6)</f>
        <v/>
      </c>
      <c r="AD6" s="36" t="str">
        <f aca="false">IF(AC6="","",IF(AC6&gt;=12,"Critical",IF(AC6&gt;=8,"High",IF(AC6&gt;=4,"Medium","Low"))))</f>
        <v/>
      </c>
    </row>
    <row r="7" customFormat="false" ht="30" hidden="false" customHeight="true" outlineLevel="0" collapsed="false">
      <c r="A7" s="35"/>
      <c r="B7" s="35"/>
      <c r="C7" s="35" t="str">
        <f aca="false">IFERROR(INDEX('Inventory Template'!$B$3:$B$200,MATCH(B7,'Inventory Template'!$A$3:$A$200,0)),"")</f>
        <v/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6" t="str">
        <f aca="false">IF(OR(K7="",M7=""),"",K7*M7)</f>
        <v/>
      </c>
      <c r="AB7" s="36" t="str">
        <f aca="false">IF(AA7="","",IF(AA7&gt;=12,"Critical",IF(AA7&gt;=8,"High",IF(AA7&gt;=4,"Medium","Low"))))</f>
        <v/>
      </c>
      <c r="AC7" s="36" t="str">
        <f aca="false">IF(OR(L7="",M7=""),"",L7*M7)</f>
        <v/>
      </c>
      <c r="AD7" s="36" t="str">
        <f aca="false">IF(AC7="","",IF(AC7&gt;=12,"Critical",IF(AC7&gt;=8,"High",IF(AC7&gt;=4,"Medium","Low"))))</f>
        <v/>
      </c>
    </row>
    <row r="8" customFormat="false" ht="30" hidden="false" customHeight="true" outlineLevel="0" collapsed="false">
      <c r="A8" s="35"/>
      <c r="B8" s="35"/>
      <c r="C8" s="35" t="str">
        <f aca="false">IFERROR(INDEX('Inventory Template'!$B$3:$B$200,MATCH(B8,'Inventory Template'!$A$3:$A$200,0)),"")</f>
        <v/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6" t="str">
        <f aca="false">IF(OR(K8="",M8=""),"",K8*M8)</f>
        <v/>
      </c>
      <c r="AB8" s="36" t="str">
        <f aca="false">IF(AA8="","",IF(AA8&gt;=12,"Critical",IF(AA8&gt;=8,"High",IF(AA8&gt;=4,"Medium","Low"))))</f>
        <v/>
      </c>
      <c r="AC8" s="36" t="str">
        <f aca="false">IF(OR(L8="",M8=""),"",L8*M8)</f>
        <v/>
      </c>
      <c r="AD8" s="36" t="str">
        <f aca="false">IF(AC8="","",IF(AC8&gt;=12,"Critical",IF(AC8&gt;=8,"High",IF(AC8&gt;=4,"Medium","Low"))))</f>
        <v/>
      </c>
    </row>
    <row r="9" customFormat="false" ht="30" hidden="false" customHeight="true" outlineLevel="0" collapsed="false">
      <c r="A9" s="35"/>
      <c r="B9" s="35"/>
      <c r="C9" s="35" t="str">
        <f aca="false">IFERROR(INDEX('Inventory Template'!$B$3:$B$200,MATCH(B9,'Inventory Template'!$A$3:$A$200,0)),"")</f>
        <v/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6" t="str">
        <f aca="false">IF(OR(K9="",M9=""),"",K9*M9)</f>
        <v/>
      </c>
      <c r="AB9" s="36" t="str">
        <f aca="false">IF(AA9="","",IF(AA9&gt;=12,"Critical",IF(AA9&gt;=8,"High",IF(AA9&gt;=4,"Medium","Low"))))</f>
        <v/>
      </c>
      <c r="AC9" s="36" t="str">
        <f aca="false">IF(OR(L9="",M9=""),"",L9*M9)</f>
        <v/>
      </c>
      <c r="AD9" s="36" t="str">
        <f aca="false">IF(AC9="","",IF(AC9&gt;=12,"Critical",IF(AC9&gt;=8,"High",IF(AC9&gt;=4,"Medium","Low"))))</f>
        <v/>
      </c>
    </row>
    <row r="10" customFormat="false" ht="30" hidden="false" customHeight="true" outlineLevel="0" collapsed="false">
      <c r="A10" s="35"/>
      <c r="B10" s="35"/>
      <c r="C10" s="35" t="str">
        <f aca="false">IFERROR(INDEX('Inventory Template'!$B$3:$B$200,MATCH(B10,'Inventory Template'!$A$3:$A$200,0)),"")</f>
        <v/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6" t="str">
        <f aca="false">IF(OR(K10="",M10=""),"",K10*M10)</f>
        <v/>
      </c>
      <c r="AB10" s="36" t="str">
        <f aca="false">IF(AA10="","",IF(AA10&gt;=12,"Critical",IF(AA10&gt;=8,"High",IF(AA10&gt;=4,"Medium","Low"))))</f>
        <v/>
      </c>
      <c r="AC10" s="36" t="str">
        <f aca="false">IF(OR(L10="",M10=""),"",L10*M10)</f>
        <v/>
      </c>
      <c r="AD10" s="36" t="str">
        <f aca="false">IF(AC10="","",IF(AC10&gt;=12,"Critical",IF(AC10&gt;=8,"High",IF(AC10&gt;=4,"Medium","Low"))))</f>
        <v/>
      </c>
    </row>
    <row r="11" customFormat="false" ht="30" hidden="false" customHeight="true" outlineLevel="0" collapsed="false">
      <c r="A11" s="35"/>
      <c r="B11" s="35"/>
      <c r="C11" s="35" t="str">
        <f aca="false">IFERROR(INDEX('Inventory Template'!$B$3:$B$200,MATCH(B11,'Inventory Template'!$A$3:$A$200,0)),"")</f>
        <v/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6" t="str">
        <f aca="false">IF(OR(K11="",M11=""),"",K11*M11)</f>
        <v/>
      </c>
      <c r="AB11" s="36" t="str">
        <f aca="false">IF(AA11="","",IF(AA11&gt;=12,"Critical",IF(AA11&gt;=8,"High",IF(AA11&gt;=4,"Medium","Low"))))</f>
        <v/>
      </c>
      <c r="AC11" s="36" t="str">
        <f aca="false">IF(OR(L11="",M11=""),"",L11*M11)</f>
        <v/>
      </c>
      <c r="AD11" s="36" t="str">
        <f aca="false">IF(AC11="","",IF(AC11&gt;=12,"Critical",IF(AC11&gt;=8,"High",IF(AC11&gt;=4,"Medium","Low"))))</f>
        <v/>
      </c>
    </row>
    <row r="12" customFormat="false" ht="30" hidden="false" customHeight="true" outlineLevel="0" collapsed="false">
      <c r="A12" s="35"/>
      <c r="B12" s="35"/>
      <c r="C12" s="35" t="str">
        <f aca="false">IFERROR(INDEX('Inventory Template'!$B$3:$B$200,MATCH(B12,'Inventory Template'!$A$3:$A$200,0)),"")</f>
        <v/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6" t="str">
        <f aca="false">IF(OR(K12="",M12=""),"",K12*M12)</f>
        <v/>
      </c>
      <c r="AB12" s="36" t="str">
        <f aca="false">IF(AA12="","",IF(AA12&gt;=12,"Critical",IF(AA12&gt;=8,"High",IF(AA12&gt;=4,"Medium","Low"))))</f>
        <v/>
      </c>
      <c r="AC12" s="36" t="str">
        <f aca="false">IF(OR(L12="",M12=""),"",L12*M12)</f>
        <v/>
      </c>
      <c r="AD12" s="36" t="str">
        <f aca="false">IF(AC12="","",IF(AC12&gt;=12,"Critical",IF(AC12&gt;=8,"High",IF(AC12&gt;=4,"Medium","Low"))))</f>
        <v/>
      </c>
    </row>
    <row r="13" customFormat="false" ht="30" hidden="false" customHeight="true" outlineLevel="0" collapsed="false">
      <c r="A13" s="35"/>
      <c r="B13" s="35"/>
      <c r="C13" s="35" t="str">
        <f aca="false">IFERROR(INDEX('Inventory Template'!$B$3:$B$200,MATCH(B13,'Inventory Template'!$A$3:$A$200,0)),"")</f>
        <v/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6" t="str">
        <f aca="false">IF(OR(K13="",M13=""),"",K13*M13)</f>
        <v/>
      </c>
      <c r="AB13" s="36" t="str">
        <f aca="false">IF(AA13="","",IF(AA13&gt;=12,"Critical",IF(AA13&gt;=8,"High",IF(AA13&gt;=4,"Medium","Low"))))</f>
        <v/>
      </c>
      <c r="AC13" s="36" t="str">
        <f aca="false">IF(OR(L13="",M13=""),"",L13*M13)</f>
        <v/>
      </c>
      <c r="AD13" s="36" t="str">
        <f aca="false">IF(AC13="","",IF(AC13&gt;=12,"Critical",IF(AC13&gt;=8,"High",IF(AC13&gt;=4,"Medium","Low"))))</f>
        <v/>
      </c>
    </row>
    <row r="14" customFormat="false" ht="30" hidden="false" customHeight="true" outlineLevel="0" collapsed="false">
      <c r="A14" s="35"/>
      <c r="B14" s="35"/>
      <c r="C14" s="35" t="str">
        <f aca="false">IFERROR(INDEX('Inventory Template'!$B$3:$B$200,MATCH(B14,'Inventory Template'!$A$3:$A$200,0)),"")</f>
        <v/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6" t="str">
        <f aca="false">IF(OR(K14="",M14=""),"",K14*M14)</f>
        <v/>
      </c>
      <c r="AB14" s="36" t="str">
        <f aca="false">IF(AA14="","",IF(AA14&gt;=12,"Critical",IF(AA14&gt;=8,"High",IF(AA14&gt;=4,"Medium","Low"))))</f>
        <v/>
      </c>
      <c r="AC14" s="36" t="str">
        <f aca="false">IF(OR(L14="",M14=""),"",L14*M14)</f>
        <v/>
      </c>
      <c r="AD14" s="36" t="str">
        <f aca="false">IF(AC14="","",IF(AC14&gt;=12,"Critical",IF(AC14&gt;=8,"High",IF(AC14&gt;=4,"Medium","Low"))))</f>
        <v/>
      </c>
    </row>
    <row r="15" customFormat="false" ht="30" hidden="false" customHeight="true" outlineLevel="0" collapsed="false">
      <c r="A15" s="35"/>
      <c r="B15" s="35"/>
      <c r="C15" s="35" t="str">
        <f aca="false">IFERROR(INDEX('Inventory Template'!$B$3:$B$200,MATCH(B15,'Inventory Template'!$A$3:$A$200,0)),"")</f>
        <v/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6" t="str">
        <f aca="false">IF(OR(K15="",M15=""),"",K15*M15)</f>
        <v/>
      </c>
      <c r="AB15" s="36" t="str">
        <f aca="false">IF(AA15="","",IF(AA15&gt;=12,"Critical",IF(AA15&gt;=8,"High",IF(AA15&gt;=4,"Medium","Low"))))</f>
        <v/>
      </c>
      <c r="AC15" s="36" t="str">
        <f aca="false">IF(OR(L15="",M15=""),"",L15*M15)</f>
        <v/>
      </c>
      <c r="AD15" s="36" t="str">
        <f aca="false">IF(AC15="","",IF(AC15&gt;=12,"Critical",IF(AC15&gt;=8,"High",IF(AC15&gt;=4,"Medium","Low"))))</f>
        <v/>
      </c>
    </row>
    <row r="16" customFormat="false" ht="30" hidden="false" customHeight="true" outlineLevel="0" collapsed="false">
      <c r="A16" s="35"/>
      <c r="B16" s="35"/>
      <c r="C16" s="35" t="str">
        <f aca="false">IFERROR(INDEX('Inventory Template'!$B$3:$B$200,MATCH(B16,'Inventory Template'!$A$3:$A$200,0)),"")</f>
        <v/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6" t="str">
        <f aca="false">IF(OR(K16="",M16=""),"",K16*M16)</f>
        <v/>
      </c>
      <c r="AB16" s="36" t="str">
        <f aca="false">IF(AA16="","",IF(AA16&gt;=12,"Critical",IF(AA16&gt;=8,"High",IF(AA16&gt;=4,"Medium","Low"))))</f>
        <v/>
      </c>
      <c r="AC16" s="36" t="str">
        <f aca="false">IF(OR(L16="",M16=""),"",L16*M16)</f>
        <v/>
      </c>
      <c r="AD16" s="36" t="str">
        <f aca="false">IF(AC16="","",IF(AC16&gt;=12,"Critical",IF(AC16&gt;=8,"High",IF(AC16&gt;=4,"Medium","Low"))))</f>
        <v/>
      </c>
    </row>
    <row r="17" customFormat="false" ht="30" hidden="false" customHeight="true" outlineLevel="0" collapsed="false">
      <c r="A17" s="35"/>
      <c r="B17" s="35"/>
      <c r="C17" s="35" t="str">
        <f aca="false">IFERROR(INDEX('Inventory Template'!$B$3:$B$200,MATCH(B17,'Inventory Template'!$A$3:$A$200,0)),"")</f>
        <v/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6" t="str">
        <f aca="false">IF(OR(K17="",M17=""),"",K17*M17)</f>
        <v/>
      </c>
      <c r="AB17" s="36" t="str">
        <f aca="false">IF(AA17="","",IF(AA17&gt;=12,"Critical",IF(AA17&gt;=8,"High",IF(AA17&gt;=4,"Medium","Low"))))</f>
        <v/>
      </c>
      <c r="AC17" s="36" t="str">
        <f aca="false">IF(OR(L17="",M17=""),"",L17*M17)</f>
        <v/>
      </c>
      <c r="AD17" s="36" t="str">
        <f aca="false">IF(AC17="","",IF(AC17&gt;=12,"Critical",IF(AC17&gt;=8,"High",IF(AC17&gt;=4,"Medium","Low"))))</f>
        <v/>
      </c>
    </row>
    <row r="18" customFormat="false" ht="30" hidden="false" customHeight="true" outlineLevel="0" collapsed="false">
      <c r="A18" s="35"/>
      <c r="B18" s="35"/>
      <c r="C18" s="35" t="str">
        <f aca="false">IFERROR(INDEX('Inventory Template'!$B$3:$B$200,MATCH(B18,'Inventory Template'!$A$3:$A$200,0)),"")</f>
        <v/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6" t="str">
        <f aca="false">IF(OR(K18="",M18=""),"",K18*M18)</f>
        <v/>
      </c>
      <c r="AB18" s="36" t="str">
        <f aca="false">IF(AA18="","",IF(AA18&gt;=12,"Critical",IF(AA18&gt;=8,"High",IF(AA18&gt;=4,"Medium","Low"))))</f>
        <v/>
      </c>
      <c r="AC18" s="36" t="str">
        <f aca="false">IF(OR(L18="",M18=""),"",L18*M18)</f>
        <v/>
      </c>
      <c r="AD18" s="36" t="str">
        <f aca="false">IF(AC18="","",IF(AC18&gt;=12,"Critical",IF(AC18&gt;=8,"High",IF(AC18&gt;=4,"Medium","Low"))))</f>
        <v/>
      </c>
    </row>
    <row r="19" customFormat="false" ht="30" hidden="false" customHeight="true" outlineLevel="0" collapsed="false">
      <c r="A19" s="35"/>
      <c r="B19" s="35"/>
      <c r="C19" s="35" t="str">
        <f aca="false">IFERROR(INDEX('Inventory Template'!$B$3:$B$200,MATCH(B19,'Inventory Template'!$A$3:$A$200,0)),"")</f>
        <v/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6" t="str">
        <f aca="false">IF(OR(K19="",M19=""),"",K19*M19)</f>
        <v/>
      </c>
      <c r="AB19" s="36" t="str">
        <f aca="false">IF(AA19="","",IF(AA19&gt;=12,"Critical",IF(AA19&gt;=8,"High",IF(AA19&gt;=4,"Medium","Low"))))</f>
        <v/>
      </c>
      <c r="AC19" s="36" t="str">
        <f aca="false">IF(OR(L19="",M19=""),"",L19*M19)</f>
        <v/>
      </c>
      <c r="AD19" s="36" t="str">
        <f aca="false">IF(AC19="","",IF(AC19&gt;=12,"Critical",IF(AC19&gt;=8,"High",IF(AC19&gt;=4,"Medium","Low"))))</f>
        <v/>
      </c>
    </row>
    <row r="20" customFormat="false" ht="30" hidden="false" customHeight="true" outlineLevel="0" collapsed="false">
      <c r="A20" s="35"/>
      <c r="B20" s="35"/>
      <c r="C20" s="35" t="str">
        <f aca="false">IFERROR(INDEX('Inventory Template'!$B$3:$B$200,MATCH(B20,'Inventory Template'!$A$3:$A$200,0)),"")</f>
        <v/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6" t="str">
        <f aca="false">IF(OR(K20="",M20=""),"",K20*M20)</f>
        <v/>
      </c>
      <c r="AB20" s="36" t="str">
        <f aca="false">IF(AA20="","",IF(AA20&gt;=12,"Critical",IF(AA20&gt;=8,"High",IF(AA20&gt;=4,"Medium","Low"))))</f>
        <v/>
      </c>
      <c r="AC20" s="36" t="str">
        <f aca="false">IF(OR(L20="",M20=""),"",L20*M20)</f>
        <v/>
      </c>
      <c r="AD20" s="36" t="str">
        <f aca="false">IF(AC20="","",IF(AC20&gt;=12,"Critical",IF(AC20&gt;=8,"High",IF(AC20&gt;=4,"Medium","Low"))))</f>
        <v/>
      </c>
    </row>
    <row r="21" customFormat="false" ht="30" hidden="false" customHeight="true" outlineLevel="0" collapsed="false">
      <c r="A21" s="35"/>
      <c r="B21" s="35"/>
      <c r="C21" s="35" t="str">
        <f aca="false">IFERROR(INDEX('Inventory Template'!$B$3:$B$200,MATCH(B21,'Inventory Template'!$A$3:$A$200,0)),"")</f>
        <v/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6" t="str">
        <f aca="false">IF(OR(K21="",M21=""),"",K21*M21)</f>
        <v/>
      </c>
      <c r="AB21" s="36" t="str">
        <f aca="false">IF(AA21="","",IF(AA21&gt;=12,"Critical",IF(AA21&gt;=8,"High",IF(AA21&gt;=4,"Medium","Low"))))</f>
        <v/>
      </c>
      <c r="AC21" s="36" t="str">
        <f aca="false">IF(OR(L21="",M21=""),"",L21*M21)</f>
        <v/>
      </c>
      <c r="AD21" s="36" t="str">
        <f aca="false">IF(AC21="","",IF(AC21&gt;=12,"Critical",IF(AC21&gt;=8,"High",IF(AC21&gt;=4,"Medium","Low"))))</f>
        <v/>
      </c>
    </row>
    <row r="22" customFormat="false" ht="30" hidden="false" customHeight="true" outlineLevel="0" collapsed="false">
      <c r="A22" s="35"/>
      <c r="B22" s="35"/>
      <c r="C22" s="35" t="str">
        <f aca="false">IFERROR(INDEX('Inventory Template'!$B$3:$B$200,MATCH(B22,'Inventory Template'!$A$3:$A$200,0)),"")</f>
        <v/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6" t="str">
        <f aca="false">IF(OR(K22="",M22=""),"",K22*M22)</f>
        <v/>
      </c>
      <c r="AB22" s="36" t="str">
        <f aca="false">IF(AA22="","",IF(AA22&gt;=12,"Critical",IF(AA22&gt;=8,"High",IF(AA22&gt;=4,"Medium","Low"))))</f>
        <v/>
      </c>
      <c r="AC22" s="36" t="str">
        <f aca="false">IF(OR(L22="",M22=""),"",L22*M22)</f>
        <v/>
      </c>
      <c r="AD22" s="36" t="str">
        <f aca="false">IF(AC22="","",IF(AC22&gt;=12,"Critical",IF(AC22&gt;=8,"High",IF(AC22&gt;=4,"Medium","Low"))))</f>
        <v/>
      </c>
    </row>
    <row r="23" customFormat="false" ht="30" hidden="false" customHeight="true" outlineLevel="0" collapsed="false">
      <c r="A23" s="35"/>
      <c r="B23" s="35"/>
      <c r="C23" s="35" t="str">
        <f aca="false">IFERROR(INDEX('Inventory Template'!$B$3:$B$200,MATCH(B23,'Inventory Template'!$A$3:$A$200,0)),"")</f>
        <v/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6" t="str">
        <f aca="false">IF(OR(K23="",M23=""),"",K23*M23)</f>
        <v/>
      </c>
      <c r="AB23" s="36" t="str">
        <f aca="false">IF(AA23="","",IF(AA23&gt;=12,"Critical",IF(AA23&gt;=8,"High",IF(AA23&gt;=4,"Medium","Low"))))</f>
        <v/>
      </c>
      <c r="AC23" s="36" t="str">
        <f aca="false">IF(OR(L23="",M23=""),"",L23*M23)</f>
        <v/>
      </c>
      <c r="AD23" s="36" t="str">
        <f aca="false">IF(AC23="","",IF(AC23&gt;=12,"Critical",IF(AC23&gt;=8,"High",IF(AC23&gt;=4,"Medium","Low"))))</f>
        <v/>
      </c>
    </row>
    <row r="24" customFormat="false" ht="30" hidden="false" customHeight="true" outlineLevel="0" collapsed="false">
      <c r="A24" s="35"/>
      <c r="B24" s="35"/>
      <c r="C24" s="35" t="str">
        <f aca="false">IFERROR(INDEX('Inventory Template'!$B$3:$B$200,MATCH(B24,'Inventory Template'!$A$3:$A$200,0)),"")</f>
        <v/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6" t="str">
        <f aca="false">IF(OR(K24="",M24=""),"",K24*M24)</f>
        <v/>
      </c>
      <c r="AB24" s="36" t="str">
        <f aca="false">IF(AA24="","",IF(AA24&gt;=12,"Critical",IF(AA24&gt;=8,"High",IF(AA24&gt;=4,"Medium","Low"))))</f>
        <v/>
      </c>
      <c r="AC24" s="36" t="str">
        <f aca="false">IF(OR(L24="",M24=""),"",L24*M24)</f>
        <v/>
      </c>
      <c r="AD24" s="36" t="str">
        <f aca="false">IF(AC24="","",IF(AC24&gt;=12,"Critical",IF(AC24&gt;=8,"High",IF(AC24&gt;=4,"Medium","Low"))))</f>
        <v/>
      </c>
    </row>
    <row r="25" customFormat="false" ht="30" hidden="false" customHeight="true" outlineLevel="0" collapsed="false">
      <c r="A25" s="35"/>
      <c r="B25" s="35"/>
      <c r="C25" s="35" t="str">
        <f aca="false">IFERROR(INDEX('Inventory Template'!$B$3:$B$200,MATCH(B25,'Inventory Template'!$A$3:$A$200,0)),"")</f>
        <v/>
      </c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6" t="str">
        <f aca="false">IF(OR(K25="",M25=""),"",K25*M25)</f>
        <v/>
      </c>
      <c r="AB25" s="36" t="str">
        <f aca="false">IF(AA25="","",IF(AA25&gt;=12,"Critical",IF(AA25&gt;=8,"High",IF(AA25&gt;=4,"Medium","Low"))))</f>
        <v/>
      </c>
      <c r="AC25" s="36" t="str">
        <f aca="false">IF(OR(L25="",M25=""),"",L25*M25)</f>
        <v/>
      </c>
      <c r="AD25" s="36" t="str">
        <f aca="false">IF(AC25="","",IF(AC25&gt;=12,"Critical",IF(AC25&gt;=8,"High",IF(AC25&gt;=4,"Medium","Low"))))</f>
        <v/>
      </c>
    </row>
    <row r="26" customFormat="false" ht="30" hidden="false" customHeight="true" outlineLevel="0" collapsed="false">
      <c r="A26" s="35"/>
      <c r="B26" s="35"/>
      <c r="C26" s="35" t="str">
        <f aca="false">IFERROR(INDEX('Inventory Template'!$B$3:$B$200,MATCH(B26,'Inventory Template'!$A$3:$A$200,0)),"")</f>
        <v/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6" t="str">
        <f aca="false">IF(OR(K26="",M26=""),"",K26*M26)</f>
        <v/>
      </c>
      <c r="AB26" s="36" t="str">
        <f aca="false">IF(AA26="","",IF(AA26&gt;=12,"Critical",IF(AA26&gt;=8,"High",IF(AA26&gt;=4,"Medium","Low"))))</f>
        <v/>
      </c>
      <c r="AC26" s="36" t="str">
        <f aca="false">IF(OR(L26="",M26=""),"",L26*M26)</f>
        <v/>
      </c>
      <c r="AD26" s="36" t="str">
        <f aca="false">IF(AC26="","",IF(AC26&gt;=12,"Critical",IF(AC26&gt;=8,"High",IF(AC26&gt;=4,"Medium","Low"))))</f>
        <v/>
      </c>
    </row>
    <row r="27" customFormat="false" ht="30" hidden="false" customHeight="true" outlineLevel="0" collapsed="false">
      <c r="A27" s="35"/>
      <c r="B27" s="35"/>
      <c r="C27" s="35" t="str">
        <f aca="false">IFERROR(INDEX('Inventory Template'!$B$3:$B$200,MATCH(B27,'Inventory Template'!$A$3:$A$200,0)),"")</f>
        <v/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6" t="str">
        <f aca="false">IF(OR(K27="",M27=""),"",K27*M27)</f>
        <v/>
      </c>
      <c r="AB27" s="36" t="str">
        <f aca="false">IF(AA27="","",IF(AA27&gt;=12,"Critical",IF(AA27&gt;=8,"High",IF(AA27&gt;=4,"Medium","Low"))))</f>
        <v/>
      </c>
      <c r="AC27" s="36" t="str">
        <f aca="false">IF(OR(L27="",M27=""),"",L27*M27)</f>
        <v/>
      </c>
      <c r="AD27" s="36" t="str">
        <f aca="false">IF(AC27="","",IF(AC27&gt;=12,"Critical",IF(AC27&gt;=8,"High",IF(AC27&gt;=4,"Medium","Low"))))</f>
        <v/>
      </c>
    </row>
    <row r="28" customFormat="false" ht="30" hidden="false" customHeight="true" outlineLevel="0" collapsed="false">
      <c r="A28" s="35"/>
      <c r="B28" s="35"/>
      <c r="C28" s="35" t="str">
        <f aca="false">IFERROR(INDEX('Inventory Template'!$B$3:$B$200,MATCH(B28,'Inventory Template'!$A$3:$A$200,0)),"")</f>
        <v/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6" t="str">
        <f aca="false">IF(OR(K28="",M28=""),"",K28*M28)</f>
        <v/>
      </c>
      <c r="AB28" s="36" t="str">
        <f aca="false">IF(AA28="","",IF(AA28&gt;=12,"Critical",IF(AA28&gt;=8,"High",IF(AA28&gt;=4,"Medium","Low"))))</f>
        <v/>
      </c>
      <c r="AC28" s="36" t="str">
        <f aca="false">IF(OR(L28="",M28=""),"",L28*M28)</f>
        <v/>
      </c>
      <c r="AD28" s="36" t="str">
        <f aca="false">IF(AC28="","",IF(AC28&gt;=12,"Critical",IF(AC28&gt;=8,"High",IF(AC28&gt;=4,"Medium","Low"))))</f>
        <v/>
      </c>
    </row>
    <row r="29" customFormat="false" ht="30" hidden="false" customHeight="true" outlineLevel="0" collapsed="false">
      <c r="A29" s="35"/>
      <c r="B29" s="35"/>
      <c r="C29" s="35" t="str">
        <f aca="false">IFERROR(INDEX('Inventory Template'!$B$3:$B$200,MATCH(B29,'Inventory Template'!$A$3:$A$200,0)),"")</f>
        <v/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 t="str">
        <f aca="false">IF(OR(K29="",M29=""),"",K29*M29)</f>
        <v/>
      </c>
      <c r="AB29" s="36" t="str">
        <f aca="false">IF(AA29="","",IF(AA29&gt;=12,"Critical",IF(AA29&gt;=8,"High",IF(AA29&gt;=4,"Medium","Low"))))</f>
        <v/>
      </c>
      <c r="AC29" s="36" t="str">
        <f aca="false">IF(OR(L29="",M29=""),"",L29*M29)</f>
        <v/>
      </c>
      <c r="AD29" s="36" t="str">
        <f aca="false">IF(AC29="","",IF(AC29&gt;=12,"Critical",IF(AC29&gt;=8,"High",IF(AC29&gt;=4,"Medium","Low"))))</f>
        <v/>
      </c>
    </row>
    <row r="30" customFormat="false" ht="30" hidden="false" customHeight="true" outlineLevel="0" collapsed="false">
      <c r="A30" s="35"/>
      <c r="B30" s="35"/>
      <c r="C30" s="35" t="str">
        <f aca="false">IFERROR(INDEX('Inventory Template'!$B$3:$B$200,MATCH(B30,'Inventory Template'!$A$3:$A$200,0)),"")</f>
        <v/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6" t="str">
        <f aca="false">IF(OR(K30="",M30=""),"",K30*M30)</f>
        <v/>
      </c>
      <c r="AB30" s="36" t="str">
        <f aca="false">IF(AA30="","",IF(AA30&gt;=12,"Critical",IF(AA30&gt;=8,"High",IF(AA30&gt;=4,"Medium","Low"))))</f>
        <v/>
      </c>
      <c r="AC30" s="36" t="str">
        <f aca="false">IF(OR(L30="",M30=""),"",L30*M30)</f>
        <v/>
      </c>
      <c r="AD30" s="36" t="str">
        <f aca="false">IF(AC30="","",IF(AC30&gt;=12,"Critical",IF(AC30&gt;=8,"High",IF(AC30&gt;=4,"Medium","Low"))))</f>
        <v/>
      </c>
    </row>
    <row r="31" customFormat="false" ht="30" hidden="false" customHeight="true" outlineLevel="0" collapsed="false">
      <c r="A31" s="35"/>
      <c r="B31" s="35"/>
      <c r="C31" s="35" t="str">
        <f aca="false">IFERROR(INDEX('Inventory Template'!$B$3:$B$200,MATCH(B31,'Inventory Template'!$A$3:$A$200,0)),"")</f>
        <v/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6" t="str">
        <f aca="false">IF(OR(K31="",M31=""),"",K31*M31)</f>
        <v/>
      </c>
      <c r="AB31" s="36" t="str">
        <f aca="false">IF(AA31="","",IF(AA31&gt;=12,"Critical",IF(AA31&gt;=8,"High",IF(AA31&gt;=4,"Medium","Low"))))</f>
        <v/>
      </c>
      <c r="AC31" s="36" t="str">
        <f aca="false">IF(OR(L31="",M31=""),"",L31*M31)</f>
        <v/>
      </c>
      <c r="AD31" s="36" t="str">
        <f aca="false">IF(AC31="","",IF(AC31&gt;=12,"Critical",IF(AC31&gt;=8,"High",IF(AC31&gt;=4,"Medium","Low"))))</f>
        <v/>
      </c>
    </row>
    <row r="32" customFormat="false" ht="30" hidden="false" customHeight="true" outlineLevel="0" collapsed="false">
      <c r="A32" s="35"/>
      <c r="B32" s="35"/>
      <c r="C32" s="35" t="str">
        <f aca="false">IFERROR(INDEX('Inventory Template'!$B$3:$B$200,MATCH(B32,'Inventory Template'!$A$3:$A$200,0)),"")</f>
        <v/>
      </c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6" t="str">
        <f aca="false">IF(OR(K32="",M32=""),"",K32*M32)</f>
        <v/>
      </c>
      <c r="AB32" s="36" t="str">
        <f aca="false">IF(AA32="","",IF(AA32&gt;=12,"Critical",IF(AA32&gt;=8,"High",IF(AA32&gt;=4,"Medium","Low"))))</f>
        <v/>
      </c>
      <c r="AC32" s="36" t="str">
        <f aca="false">IF(OR(L32="",M32=""),"",L32*M32)</f>
        <v/>
      </c>
      <c r="AD32" s="36" t="str">
        <f aca="false">IF(AC32="","",IF(AC32&gt;=12,"Critical",IF(AC32&gt;=8,"High",IF(AC32&gt;=4,"Medium","Low"))))</f>
        <v/>
      </c>
    </row>
    <row r="33" customFormat="false" ht="30" hidden="false" customHeight="true" outlineLevel="0" collapsed="false">
      <c r="A33" s="35"/>
      <c r="B33" s="35"/>
      <c r="C33" s="35" t="str">
        <f aca="false">IFERROR(INDEX('Inventory Template'!$B$3:$B$200,MATCH(B33,'Inventory Template'!$A$3:$A$200,0)),"")</f>
        <v/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6" t="str">
        <f aca="false">IF(OR(K33="",M33=""),"",K33*M33)</f>
        <v/>
      </c>
      <c r="AB33" s="36" t="str">
        <f aca="false">IF(AA33="","",IF(AA33&gt;=12,"Critical",IF(AA33&gt;=8,"High",IF(AA33&gt;=4,"Medium","Low"))))</f>
        <v/>
      </c>
      <c r="AC33" s="36" t="str">
        <f aca="false">IF(OR(L33="",M33=""),"",L33*M33)</f>
        <v/>
      </c>
      <c r="AD33" s="36" t="str">
        <f aca="false">IF(AC33="","",IF(AC33&gt;=12,"Critical",IF(AC33&gt;=8,"High",IF(AC33&gt;=4,"Medium","Low"))))</f>
        <v/>
      </c>
    </row>
  </sheetData>
  <mergeCells count="1">
    <mergeCell ref="B1:AD1"/>
  </mergeCells>
  <conditionalFormatting sqref="AB3:AB33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AD3:AD33">
    <cfRule type="cellIs" priority="6" operator="equal" aboveAverage="0" equalAverage="0" bottom="0" percent="0" rank="0" text="" dxfId="0">
      <formula>"Critical"</formula>
    </cfRule>
    <cfRule type="cellIs" priority="7" operator="equal" aboveAverage="0" equalAverage="0" bottom="0" percent="0" rank="0" text="" dxfId="1">
      <formula>"High"</formula>
    </cfRule>
    <cfRule type="cellIs" priority="8" operator="equal" aboveAverage="0" equalAverage="0" bottom="0" percent="0" rank="0" text="" dxfId="2">
      <formula>"Medium"</formula>
    </cfRule>
    <cfRule type="cellIs" priority="9" operator="equal" aboveAverage="0" equalAverage="0" bottom="0" percent="0" rank="0" text="" dxfId="3">
      <formula>"Low"</formula>
    </cfRule>
  </conditionalFormatting>
  <dataValidations count="4">
    <dataValidation allowBlank="true" error="Enter a whole number 1-4." errorStyle="stop" errorTitle="Out of range" operator="between" showDropDown="false" showErrorMessage="false" showInputMessage="false" sqref="K3:M33" type="whole">
      <formula1>1</formula1>
      <formula2>4</formula2>
    </dataValidation>
    <dataValidation allowBlank="true" errorStyle="stop" operator="between" showDropDown="false" showErrorMessage="false" showInputMessage="false" sqref="O3:O33" type="list">
      <formula1>"mitigate,accept,transfer,avoid"</formula1>
      <formula2>0</formula2>
    </dataValidation>
    <dataValidation allowBlank="true" errorStyle="stop" operator="between" showDropDown="false" showErrorMessage="false" showInputMessage="false" sqref="Z3:Z33" type="list">
      <formula1>"open,mitigating,accepted,closed"</formula1>
      <formula2>0</formula2>
    </dataValidation>
    <dataValidation allowBlank="true" errorStyle="stop" operator="between" showDropDown="false" showErrorMessage="false" showInputMessage="false" sqref="I3:I33" type="list">
      <formula1>"wrong decision,unfair decision,uncontestable decision,data,manipulation,safety,none"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2026-09-22T05:40:54Z</dcterms:created>
  <dc:creator>Narendra Karki</dc:creator>
  <dc:description/>
  <dc:language>en-US</dc:language>
  <cp:lastModifiedBy>Narendra Karki</cp:lastModifiedBy>
  <dcterms:modified xsi:type="dcterms:W3CDTF">2026-09-22T05:40:54Z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